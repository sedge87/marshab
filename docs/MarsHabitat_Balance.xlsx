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ttings" sheetId="2" state="visible" r:id="rId2"/>
    <sheet name="Rooms" sheetId="3" state="visible" r:id="rId3"/>
    <sheet name="Equipment" sheetId="4" state="visible" r:id="rId4"/>
    <sheet name="Sites" sheetId="5" state="visible" r:id="rId5"/>
    <sheet name="Balance 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</font>
    <font>
      <name val="Arial"/>
      <b val="1"/>
    </font>
    <font>
      <name val="Arial"/>
      <color rgb="000000FF"/>
    </font>
    <font>
      <name val="Arial"/>
      <color rgb="00008000"/>
    </font>
    <font>
      <name val="Arial"/>
      <b val="1"/>
      <color rgb="00FFFFFF"/>
    </font>
    <font>
      <name val="Arial"/>
      <color rgb="00808080"/>
    </font>
    <font>
      <name val="Arial"/>
      <b val="1"/>
      <color rgb="00008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F3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6" fillId="3" borderId="0" applyAlignment="1" pivotButton="0" quotePrefix="0" xfId="0">
      <alignment vertical="center" wrapText="1"/>
    </xf>
    <xf numFmtId="0" fontId="2" fillId="0" borderId="0" pivotButton="0" quotePrefix="0" xfId="0"/>
    <xf numFmtId="3" fontId="4" fillId="2" borderId="0" pivotButton="0" quotePrefix="0" xfId="0"/>
    <xf numFmtId="0" fontId="7" fillId="0" borderId="0" pivotButton="0" quotePrefix="0" xfId="0"/>
    <xf numFmtId="4" fontId="4" fillId="0" borderId="0" pivotButton="0" quotePrefix="0" xfId="0"/>
    <xf numFmtId="4" fontId="4" fillId="2" borderId="0" pivotButton="0" quotePrefix="0" xfId="0"/>
    <xf numFmtId="3" fontId="4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2" fillId="0" borderId="0" pivotButton="0" quotePrefix="0" xfId="0"/>
    <xf numFmtId="3" fontId="5" fillId="0" borderId="0" pivotButton="0" quotePrefix="0" xfId="0"/>
    <xf numFmtId="165" fontId="5" fillId="0" borderId="0" pivotButton="0" quotePrefix="0" xfId="0"/>
    <xf numFmtId="1" fontId="4" fillId="0" borderId="0" pivotButton="0" quotePrefix="0" xfId="0"/>
    <xf numFmtId="165" fontId="2" fillId="0" borderId="0" pivotButton="0" quotePrefix="0" xfId="0"/>
    <xf numFmtId="165" fontId="4" fillId="0" borderId="0" pivotButton="0" quotePrefix="0" xfId="0"/>
    <xf numFmtId="165" fontId="4" fillId="2" borderId="0" pivotButton="0" quotePrefix="0" xfId="0"/>
    <xf numFmtId="9" fontId="4" fillId="2" borderId="0" pivotButton="0" quotePrefix="0" xfId="0"/>
    <xf numFmtId="0" fontId="1" fillId="0" borderId="0" pivotButton="0" quotePrefix="0" xfId="0"/>
    <xf numFmtId="0" fontId="8" fillId="0" borderId="0" pivotButton="0" quotePrefix="0" xfId="0"/>
    <xf numFmtId="1" fontId="4" fillId="2" borderId="0" pivotButton="0" quotePrefix="0" xfId="0"/>
    <xf numFmtId="1" fontId="5" fillId="0" borderId="0" pivotButton="0" quotePrefix="0" xfId="0"/>
    <xf numFmtId="9" fontId="3" fillId="0" borderId="0" pivotButton="0" quotePrefix="0" xfId="0"/>
    <xf numFmtId="49" fontId="3" fillId="0" borderId="0" pivotButton="0" quotePrefix="0" xfId="0"/>
    <xf numFmtId="2" fontId="2" fillId="0" borderId="0" pivotButton="0" quotePrefix="0" xfId="0"/>
    <xf numFmtId="9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Balance</author>
  </authors>
  <commentList>
    <comment ref="B8" authorId="0" shapeId="0">
      <text>
        <t>Share of a full-sun sol from the game's sun curve, times peak output.</t>
      </text>
    </comment>
    <comment ref="C8" authorId="0" shapeId="0">
      <text>
        <t>Share of a full-sun sol from the game's sun curve, times peak output.</t>
      </text>
    </comment>
    <comment ref="D8" authorId="0" shapeId="0">
      <text>
        <t>Share of a full-sun sol from the game's sun curve, times peak output.</t>
      </text>
    </comment>
    <comment ref="E8" authorId="0" shapeId="0">
      <text>
        <t>Share of a full-sun sol from the game's sun curve, times peak output.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MARS: HABITAT: resource balance</t>
        </is>
      </c>
    </row>
    <row r="2">
      <c r="A2" s="2" t="inlineStr">
        <is>
          <t>Every number the habitat simulation uses is kept here. Change a number, save, and the game picks it up when the data is re-imported (tools/import_balance.py).</t>
        </is>
      </c>
    </row>
    <row r="3">
      <c r="A3" s="2" t="inlineStr"/>
    </row>
    <row r="4">
      <c r="A4" s="3" t="inlineStr">
        <is>
          <t>Colour key</t>
        </is>
      </c>
    </row>
    <row r="5">
      <c r="A5" s="4" t="inlineStr">
        <is>
          <t>Blue text: a number you can change.</t>
        </is>
      </c>
    </row>
    <row r="6">
      <c r="A6" s="2" t="inlineStr">
        <is>
          <t>Black text: worked out by a formula. Don't type over it.</t>
        </is>
      </c>
    </row>
    <row r="7">
      <c r="A7" s="5" t="inlineStr">
        <is>
          <t>Green text: copied from another sheet.</t>
        </is>
      </c>
    </row>
    <row r="8">
      <c r="A8" s="6" t="inlineStr">
        <is>
          <t>Yellow fill: the most important levers for difficulty.</t>
        </is>
      </c>
    </row>
    <row r="9">
      <c r="A9" s="2" t="inlineStr"/>
    </row>
    <row r="10">
      <c r="A10" s="3" t="inlineStr">
        <is>
          <t>Sheets</t>
        </is>
      </c>
    </row>
    <row r="11">
      <c r="A11" s="2" t="inlineStr">
        <is>
          <t>Settings: crew needs and habitat-wide numbers (mission length, cargo budget, insulation).</t>
        </is>
      </c>
    </row>
    <row r="12">
      <c r="A12" s="2" t="inlineStr">
        <is>
          <t>Rooms: cargo cost and base power for each 3 x 3 m cell of each room type.</t>
        </is>
      </c>
    </row>
    <row r="13">
      <c r="A13" s="2" t="inlineStr">
        <is>
          <t>Equipment: every placeable item: cargo, power, what it makes or uses, what it stores. 'Reference qty' is a sensible 6-crew design used by Balance Check.</t>
        </is>
      </c>
    </row>
    <row r="14">
      <c r="A14" s="2" t="inlineStr">
        <is>
          <t>Sites: what makes each landing site different: sun, temperature, ice, dust storms, cargo bonus.</t>
        </is>
      </c>
    </row>
    <row r="15">
      <c r="A15" s="2" t="inlineStr">
        <is>
          <t>Balance Check: runs the reference design on every site so you can see whether it is achievable. Change any blue number and watch it update.</t>
        </is>
      </c>
    </row>
    <row r="16">
      <c r="A16" s="2" t="inlineStr"/>
    </row>
    <row r="17">
      <c r="A17" s="3" t="inlineStr">
        <is>
          <t>Units</t>
        </is>
      </c>
    </row>
    <row r="18">
      <c r="A18" s="2" t="inlineStr">
        <is>
          <t>kg = kilograms of cargo landed on Mars. kW = power while running. kWh = energy. L = litres. A sol is a Mars day; the game's clock runs 24 hours per sol.</t>
        </is>
      </c>
    </row>
    <row r="19">
      <c r="A19" s="2" t="inlineStr">
        <is>
          <t>Values per sol are for a full sol of running. 'Hours on per sol' turns the 'kW when on' figure into an average.</t>
        </is>
      </c>
    </row>
    <row r="20">
      <c r="A20" s="2" t="inlineStr">
        <is>
          <t>Figures are realistic ballparks (mostly NASA ISS life-support planning numbers), simplified for Year 9. They are meant to be tuned for play.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90" customWidth="1" min="4" max="4"/>
    <col width="22" customWidth="1" min="5" max="5"/>
  </cols>
  <sheetData>
    <row r="1">
      <c r="A1" s="7" t="inlineStr">
        <is>
          <t>Setting</t>
        </is>
      </c>
      <c r="B1" s="7" t="inlineStr">
        <is>
          <t>Value</t>
        </is>
      </c>
      <c r="C1" s="7" t="inlineStr">
        <is>
          <t>Unit</t>
        </is>
      </c>
      <c r="D1" s="7" t="inlineStr">
        <is>
          <t>Notes / real-world basis</t>
        </is>
      </c>
      <c r="E1" s="7" t="inlineStr">
        <is>
          <t>Game key (don't change)</t>
        </is>
      </c>
    </row>
    <row r="2">
      <c r="A2" s="8" t="inlineStr">
        <is>
          <t>Crew size</t>
        </is>
      </c>
      <c r="B2" s="9" t="n">
        <v>6</v>
      </c>
      <c r="C2" s="8" t="inlineStr">
        <is>
          <t>people</t>
        </is>
      </c>
      <c r="D2" s="8" t="inlineStr">
        <is>
          <t>Mission crew. The student is the commander, one of the six.</t>
        </is>
      </c>
      <c r="E2" s="10" t="inlineStr">
        <is>
          <t>crew</t>
        </is>
      </c>
    </row>
    <row r="3">
      <c r="A3" s="8" t="inlineStr">
        <is>
          <t>Mission length (reference)</t>
        </is>
      </c>
      <c r="B3" s="9" t="n">
        <v>100</v>
      </c>
      <c r="C3" s="8" t="inlineStr">
        <is>
          <t>sols</t>
        </is>
      </c>
      <c r="D3" s="8" t="inlineStr">
        <is>
          <t>Used by Balance Check for food to bring. Missions set their own length.</t>
        </is>
      </c>
      <c r="E3" s="10" t="inlineStr">
        <is>
          <t>mission_sols</t>
        </is>
      </c>
    </row>
    <row r="4">
      <c r="A4" s="8" t="inlineStr">
        <is>
          <t>Cargo budget</t>
        </is>
      </c>
      <c r="B4" s="9" t="n">
        <v>100000</v>
      </c>
      <c r="C4" s="8" t="inlineStr">
        <is>
          <t>kg</t>
        </is>
      </c>
      <c r="D4" s="8" t="inlineStr">
        <is>
          <t>Survival starting cargo. Raised to 100,000 on 22 Oct when Earth resupply was switched off: the regolith printer is now how the base grows. Freedom starts with more (below). Missions set their own per-landing payloads.</t>
        </is>
      </c>
      <c r="E4" s="10" t="inlineStr">
        <is>
          <t>cargo_budget_kg</t>
        </is>
      </c>
      <c r="F4" t="n">
        <v>120000</v>
      </c>
    </row>
    <row r="5">
      <c r="A5" s="8" t="inlineStr">
        <is>
          <t>Food the lander brings</t>
        </is>
      </c>
      <c r="B5" s="9" t="n">
        <v>60</v>
      </c>
      <c r="C5" s="8" t="inlineStr">
        <is>
          <t>sols</t>
        </is>
      </c>
      <c r="D5" s="8" t="inlineStr">
        <is>
          <t>Survival and Freedom: food for the crew when they move in (it does not count against cargo). Missions will let students choose.</t>
        </is>
      </c>
      <c r="E5" s="10" t="inlineStr">
        <is>
          <t>start_food_sols</t>
        </is>
      </c>
    </row>
    <row r="6">
      <c r="A6" s="8" t="inlineStr">
        <is>
          <t>Oxygen breathed</t>
        </is>
      </c>
      <c r="B6" s="11" t="n">
        <v>0.84</v>
      </c>
      <c r="C6" s="8" t="inlineStr">
        <is>
          <t>kg/person/sol</t>
        </is>
      </c>
      <c r="D6" s="8" t="inlineStr">
        <is>
          <t>NASA Baseline Values and Assumptions Document (BVAD).</t>
        </is>
      </c>
      <c r="E6" s="10" t="inlineStr">
        <is>
          <t>o2_per_person</t>
        </is>
      </c>
    </row>
    <row r="7">
      <c r="A7" s="8" t="inlineStr">
        <is>
          <t>CO2 breathed out</t>
        </is>
      </c>
      <c r="B7" s="11" t="n">
        <v>1</v>
      </c>
      <c r="C7" s="8" t="inlineStr">
        <is>
          <t>kg/person/sol</t>
        </is>
      </c>
      <c r="D7" s="8" t="inlineStr">
        <is>
          <t>NASA BVAD.</t>
        </is>
      </c>
      <c r="E7" s="10" t="inlineStr">
        <is>
          <t>co2_per_person</t>
        </is>
      </c>
    </row>
    <row r="8">
      <c r="A8" s="8" t="inlineStr">
        <is>
          <t>Water used</t>
        </is>
      </c>
      <c r="B8" s="9" t="n">
        <v>10</v>
      </c>
      <c r="C8" s="8" t="inlineStr">
        <is>
          <t>L/person/sol</t>
        </is>
      </c>
      <c r="D8" s="8" t="inlineStr">
        <is>
          <t>Drink 2.5, food 1, hygiene 6, toilet 0.5. ISS crews use less; this allows short showers.</t>
        </is>
      </c>
      <c r="E8" s="10" t="inlineStr">
        <is>
          <t>water_per_person</t>
        </is>
      </c>
    </row>
    <row r="9">
      <c r="A9" s="8" t="inlineStr">
        <is>
          <t>Food eaten</t>
        </is>
      </c>
      <c r="B9" s="12" t="n">
        <v>1.8</v>
      </c>
      <c r="C9" s="8" t="inlineStr">
        <is>
          <t>kg/person/sol</t>
        </is>
      </c>
      <c r="D9" s="8" t="inlineStr">
        <is>
          <t>Packaged food including packaging, about 3,000 kcal.</t>
        </is>
      </c>
      <c r="E9" s="10" t="inlineStr">
        <is>
          <t>food_per_person</t>
        </is>
      </c>
    </row>
    <row r="10">
      <c r="A10" s="8" t="inlineStr">
        <is>
          <t>Body heat given off</t>
        </is>
      </c>
      <c r="B10" s="11" t="n">
        <v>0.1</v>
      </c>
      <c r="C10" s="8" t="inlineStr">
        <is>
          <t>kW/person</t>
        </is>
      </c>
      <c r="D10" s="8" t="inlineStr">
        <is>
          <t>A resting adult gives off about 100 W.</t>
        </is>
      </c>
      <c r="E10" s="10" t="inlineStr">
        <is>
          <t>body_heat_kw</t>
        </is>
      </c>
    </row>
    <row r="11">
      <c r="A11" s="8" t="inlineStr">
        <is>
          <t>Hull heat loss (U value)</t>
        </is>
      </c>
      <c r="B11" s="12" t="n">
        <v>0.25</v>
      </c>
      <c r="C11" s="8" t="inlineStr">
        <is>
          <t>W/m2/C</t>
        </is>
      </c>
      <c r="D11" s="8" t="inlineStr">
        <is>
          <t>How fast heat leaks through the hull. Lower = better insulated. The main difficulty lever for cold sites.</t>
        </is>
      </c>
      <c r="E11" s="10" t="inlineStr">
        <is>
          <t>hull_u</t>
        </is>
      </c>
    </row>
    <row r="12">
      <c r="A12" s="8" t="inlineStr">
        <is>
          <t>Hull area per cell</t>
        </is>
      </c>
      <c r="B12" s="13" t="n">
        <v>27</v>
      </c>
      <c r="C12" s="8" t="inlineStr">
        <is>
          <t>m2</t>
        </is>
      </c>
      <c r="D12" s="8" t="inlineStr">
        <is>
          <t>Roof + floor + about one outer wall of a 3 x 3 x 2.9 m cell.</t>
        </is>
      </c>
      <c r="E12" s="10" t="inlineStr">
        <is>
          <t>hull_area_per_cell</t>
        </is>
      </c>
    </row>
    <row r="13">
      <c r="A13" s="8" t="inlineStr">
        <is>
          <t>Window heat loss</t>
        </is>
      </c>
      <c r="B13" s="13" t="n">
        <v>6</v>
      </c>
      <c r="C13" s="8" t="inlineStr">
        <is>
          <t>x hull</t>
        </is>
      </c>
      <c r="D13" s="8" t="inlineStr">
        <is>
          <t>A window loses heat like this many times its area of hull.</t>
        </is>
      </c>
      <c r="E13" s="10" t="inlineStr">
        <is>
          <t>window_loss_factor</t>
        </is>
      </c>
    </row>
    <row r="14">
      <c r="A14" s="8" t="inlineStr">
        <is>
          <t>Window area</t>
        </is>
      </c>
      <c r="B14" s="13" t="n">
        <v>3</v>
      </c>
      <c r="C14" s="8" t="inlineStr">
        <is>
          <t>m2</t>
        </is>
      </c>
      <c r="D14" s="8" t="inlineStr">
        <is>
          <t>One hull window band.</t>
        </is>
      </c>
      <c r="E14" s="10" t="inlineStr">
        <is>
          <t>window_area</t>
        </is>
      </c>
    </row>
    <row r="15">
      <c r="A15" s="8" t="inlineStr">
        <is>
          <t>Comfortable temperature</t>
        </is>
      </c>
      <c r="B15" s="13" t="n">
        <v>20</v>
      </c>
      <c r="C15" s="8" t="inlineStr">
        <is>
          <t>C</t>
        </is>
      </c>
      <c r="D15" s="8" t="inlineStr">
        <is>
          <t>Thermal control aims for this. Comfortable is 18-26 C.</t>
        </is>
      </c>
      <c r="E15" s="10" t="inlineStr">
        <is>
          <t>indoor_target_c</t>
        </is>
      </c>
    </row>
    <row r="16">
      <c r="A16" s="8" t="inlineStr">
        <is>
          <t>Heat pump efficiency</t>
        </is>
      </c>
      <c r="B16" s="13" t="n">
        <v>3</v>
      </c>
      <c r="C16" s="8" t="inlineStr">
        <is>
          <t>x</t>
        </is>
      </c>
      <c r="D16" s="8" t="inlineStr">
        <is>
          <t>1 kW of electricity moves about 3 kW of heat (thermal control unit).</t>
        </is>
      </c>
      <c r="E16" s="10" t="inlineStr">
        <is>
          <t>heat_pump_cop</t>
        </is>
      </c>
    </row>
    <row r="17">
      <c r="A17" s="8" t="inlineStr">
        <is>
          <t>Water recovered by reclaimer</t>
        </is>
      </c>
      <c r="B17" s="12" t="n">
        <v>0.93</v>
      </c>
      <c r="C17" s="8" t="inlineStr">
        <is>
          <t>fraction</t>
        </is>
      </c>
      <c r="D17" s="8" t="inlineStr">
        <is>
          <t>ISS reaches about 98%; 93% leaves a gap the ice drill must fill.</t>
        </is>
      </c>
      <c r="E17" s="10" t="inlineStr">
        <is>
          <t>reclaim_fraction</t>
        </is>
      </c>
    </row>
    <row r="18">
      <c r="A18" s="8" t="inlineStr">
        <is>
          <t>Ice drill output at richest ice</t>
        </is>
      </c>
      <c r="B18" s="9" t="n">
        <v>120</v>
      </c>
      <c r="C18" s="8" t="inlineStr">
        <is>
          <t>L/sol</t>
        </is>
      </c>
      <c r="D18" s="8" t="inlineStr">
        <is>
          <t>Scaled by ice richness where it is placed.</t>
        </is>
      </c>
      <c r="E18" s="10" t="inlineStr">
        <is>
          <t>ice_drill_l</t>
        </is>
      </c>
    </row>
    <row r="19">
      <c r="A19" s="8" t="inlineStr">
        <is>
          <t>Typical share of peak richness</t>
        </is>
      </c>
      <c r="B19" s="11" t="n">
        <v>0.8</v>
      </c>
      <c r="C19" s="8" t="inlineStr">
        <is>
          <t>fraction</t>
        </is>
      </c>
      <c r="D19" s="8" t="inlineStr">
        <is>
          <t>Drills are rarely on the very centre of a deposit.</t>
        </is>
      </c>
      <c r="E19" s="10" t="inlineStr">
        <is>
          <t>ice_typical</t>
        </is>
      </c>
    </row>
    <row r="20">
      <c r="A20" s="8" t="inlineStr">
        <is>
          <t>Solar array output at noon (full sun)</t>
        </is>
      </c>
      <c r="B20" s="9" t="n">
        <v>10</v>
      </c>
      <c r="C20" s="8" t="inlineStr">
        <is>
          <t>kW</t>
        </is>
      </c>
      <c r="D20" s="8" t="inlineStr">
        <is>
          <t>About 80 m2 of panels. Actual output follows the site's sun curve.</t>
        </is>
      </c>
      <c r="E20" s="10" t="inlineStr">
        <is>
          <t>solar_peak_kw</t>
        </is>
      </c>
    </row>
    <row r="21">
      <c r="A21" s="8" t="inlineStr">
        <is>
          <t>Reactor output</t>
        </is>
      </c>
      <c r="B21" s="9" t="n">
        <v>10</v>
      </c>
      <c r="C21" s="8" t="inlineStr">
        <is>
          <t>kW</t>
        </is>
      </c>
      <c r="D21" s="8" t="inlineStr">
        <is>
          <t>Like NASA's Kilopower design. Constant day and night.</t>
        </is>
      </c>
      <c r="E21" s="10" t="inlineStr">
        <is>
          <t>reactor_kw</t>
        </is>
      </c>
    </row>
    <row r="22">
      <c r="A22" s="8" t="inlineStr">
        <is>
          <t>Battery bank storage</t>
        </is>
      </c>
      <c r="B22" s="9" t="n">
        <v>50</v>
      </c>
      <c r="C22" s="8" t="inlineStr">
        <is>
          <t>kWh</t>
        </is>
      </c>
      <c r="D22" s="8" t="inlineStr">
        <is>
          <t>About 125 Wh per kg including casing and cooling.</t>
        </is>
      </c>
      <c r="E22" s="10" t="inlineStr">
        <is>
          <t>battery_kwh</t>
        </is>
      </c>
    </row>
    <row r="23">
      <c r="A23" s="8" t="inlineStr">
        <is>
          <t>Partition wall panel (1.5 m)</t>
        </is>
      </c>
      <c r="B23" s="13" t="n">
        <v>60</v>
      </c>
      <c r="C23" s="8" t="inlineStr">
        <is>
          <t>kg</t>
        </is>
      </c>
      <c r="D23" s="8" t="inlineStr">
        <is>
          <t>Lightweight composite panel for dividing a room into bedrooms or cubicles. Doors cost the same.</t>
        </is>
      </c>
      <c r="E23" s="10" t="inlineStr">
        <is>
          <t>partition_cargo_kg</t>
        </is>
      </c>
    </row>
    <row r="24">
      <c r="A24" s="8" t="inlineStr">
        <is>
          <t>Air lost per airlock cycle</t>
        </is>
      </c>
      <c r="B24" s="11" t="n">
        <v>0.5</v>
      </c>
      <c r="C24" s="8" t="inlineStr">
        <is>
          <t>kg</t>
        </is>
      </c>
      <c r="D24" s="8" t="inlineStr">
        <is>
          <t>Real airlocks pump most air back before opening.</t>
        </is>
      </c>
      <c r="E24" s="10" t="inlineStr">
        <is>
          <t>airlock_air_kg</t>
        </is>
      </c>
    </row>
    <row r="25">
      <c r="A25" s="8" t="inlineStr">
        <is>
          <t>Room lights on per sol</t>
        </is>
      </c>
      <c r="B25" s="13" t="n">
        <v>12</v>
      </c>
      <c r="C25" s="8" t="inlineStr">
        <is>
          <t>hours</t>
        </is>
      </c>
      <c r="D25" s="8" t="inlineStr">
        <is>
          <t>Evening and night.</t>
        </is>
      </c>
      <c r="E25" s="10" t="inlineStr">
        <is>
          <t>night_light_hours</t>
        </is>
      </c>
    </row>
    <row r="26">
      <c r="A26" s="8" t="inlineStr">
        <is>
          <t>CO2 danger level</t>
        </is>
      </c>
      <c r="B26" s="11" t="n">
        <v>1</v>
      </c>
      <c r="C26" s="8" t="inlineStr">
        <is>
          <t>%</t>
        </is>
      </c>
      <c r="D26" s="8" t="inlineStr">
        <is>
          <t>Above 1% causes headaches; above 3% is dangerous. NASA limit is about 0.5%.</t>
        </is>
      </c>
      <c r="E26" s="10" t="inlineStr">
        <is>
          <t>co2_danger_pct</t>
        </is>
      </c>
    </row>
    <row r="27">
      <c r="A27" s="8" t="inlineStr">
        <is>
          <t>Lowest safe oxygen</t>
        </is>
      </c>
      <c r="B27" s="13" t="n">
        <v>19.5</v>
      </c>
      <c r="C27" s="8" t="inlineStr">
        <is>
          <t>%</t>
        </is>
      </c>
      <c r="D27" s="8" t="inlineStr">
        <is>
          <t>Below this, crew are in danger.</t>
        </is>
      </c>
      <c r="E27" s="10" t="inlineStr">
        <is>
          <t>o2_min_pct</t>
        </is>
      </c>
    </row>
    <row r="28">
      <c r="A28" s="8" t="inlineStr">
        <is>
          <t>Cold room</t>
        </is>
      </c>
      <c r="B28" s="13" t="n">
        <v>12</v>
      </c>
      <c r="C28" s="8" t="inlineStr">
        <is>
          <t>C</t>
        </is>
      </c>
      <c r="D28" s="8" t="inlineStr">
        <is>
          <t>Below this a room counts as cold (warning).</t>
        </is>
      </c>
      <c r="E28" s="10" t="inlineStr">
        <is>
          <t>cold_c</t>
        </is>
      </c>
    </row>
    <row r="29">
      <c r="A29" s="8" t="inlineStr">
        <is>
          <t>Dangerously cold room</t>
        </is>
      </c>
      <c r="B29" s="13" t="n">
        <v>5</v>
      </c>
      <c r="C29" s="8" t="inlineStr">
        <is>
          <t>C</t>
        </is>
      </c>
      <c r="D29" s="8" t="inlineStr">
        <is>
          <t>Crew health falls in rooms below this.</t>
        </is>
      </c>
      <c r="E29" s="10" t="inlineStr">
        <is>
          <t>danger_cold_c</t>
        </is>
      </c>
    </row>
    <row r="30">
      <c r="A30" s="8" t="inlineStr">
        <is>
          <t>Freedom starting cargo</t>
        </is>
      </c>
      <c r="B30" s="13" t="n">
        <v>140000</v>
      </c>
      <c r="C30" s="8" t="inlineStr">
        <is>
          <t>kg</t>
        </is>
      </c>
      <c r="D30" s="8" t="inlineStr">
        <is>
          <t>Freedom: a generous start. The regolith printer grows the base from there.</t>
        </is>
      </c>
      <c r="E30" s="10" t="inlineStr">
        <is>
          <t>freedom_cargo_budget_kg</t>
        </is>
      </c>
    </row>
    <row r="31">
      <c r="A31" s="8" t="inlineStr">
        <is>
          <t>Resupply interval (Survival)</t>
        </is>
      </c>
      <c r="B31" s="13" t="n">
        <v>3</v>
      </c>
      <c r="C31" s="8" t="inlineStr">
        <is>
          <t>sols</t>
        </is>
      </c>
      <c r="D31" s="8" t="inlineStr">
        <is>
          <t>A resupply lander arrives this often. Real launch windows are about 26 months apart; the game compresses time.</t>
        </is>
      </c>
      <c r="E31" s="10" t="inlineStr">
        <is>
          <t>resupply_sols_survival</t>
        </is>
      </c>
    </row>
    <row r="32">
      <c r="A32" s="8" t="inlineStr">
        <is>
          <t>Resupply size (Survival)</t>
        </is>
      </c>
      <c r="B32" s="13" t="n">
        <v>15000</v>
      </c>
      <c r="C32" s="8" t="inlineStr">
        <is>
          <t>kg</t>
        </is>
      </c>
      <c r="D32" s="8" t="inlineStr">
        <is>
          <t>Cargo each Survival resupply lander brings.</t>
        </is>
      </c>
      <c r="E32" s="10" t="inlineStr">
        <is>
          <t>resupply_kg_survival</t>
        </is>
      </c>
    </row>
    <row r="33">
      <c r="A33" s="8" t="inlineStr">
        <is>
          <t>Resupply interval (Freedom)</t>
        </is>
      </c>
      <c r="B33" s="13" t="n">
        <v>2</v>
      </c>
      <c r="C33" s="8" t="inlineStr">
        <is>
          <t>sols</t>
        </is>
      </c>
      <c r="D33" s="8" t="inlineStr"/>
      <c r="E33" s="10" t="inlineStr">
        <is>
          <t>resupply_sols_freedom</t>
        </is>
      </c>
    </row>
    <row r="34">
      <c r="A34" s="8" t="inlineStr">
        <is>
          <t>Resupply size (Freedom)</t>
        </is>
      </c>
      <c r="B34" s="13" t="n">
        <v>20000</v>
      </c>
      <c r="C34" s="8" t="inlineStr">
        <is>
          <t>kg</t>
        </is>
      </c>
      <c r="D34" s="8" t="inlineStr"/>
      <c r="E34" s="10" t="inlineStr">
        <is>
          <t>resupply_kg_freedom</t>
        </is>
      </c>
    </row>
    <row r="35">
      <c r="A35" s="8" t="inlineStr">
        <is>
          <t>Printer output</t>
        </is>
      </c>
      <c r="B35" s="13" t="n">
        <v>2500</v>
      </c>
      <c r="C35" s="8" t="inlineStr">
        <is>
          <t>kg/sol</t>
        </is>
      </c>
      <c r="D35" s="8" t="inlineStr">
        <is>
          <t>Mars-made material from one running regolith printer fed by a running intake. Pays for room shells, corridors, partitions, shelving, crates and tables.</t>
        </is>
      </c>
      <c r="E35" s="10" t="inlineStr">
        <is>
          <t>print_kg_per_sol</t>
        </is>
      </c>
    </row>
    <row r="36">
      <c r="A36" s="8" t="inlineStr">
        <is>
          <t>Recycling bonus</t>
        </is>
      </c>
      <c r="B36" s="13" t="n">
        <v>0.25</v>
      </c>
      <c r="C36" s="8" t="inlineStr">
        <is>
          <t>fraction</t>
        </is>
      </c>
      <c r="D36" s="8" t="inlineStr">
        <is>
          <t>Extra printer output when the base has a plastics recycling hopper (plastic binder).</t>
        </is>
      </c>
      <c r="E36" s="10" t="inlineStr">
        <is>
          <t>print_recycle_bonus</t>
        </is>
      </c>
    </row>
    <row r="37">
      <c r="A37" s="8" t="inlineStr">
        <is>
          <t>Earth resupply landers</t>
        </is>
      </c>
      <c r="B37" s="13" t="n">
        <v>0</v>
      </c>
      <c r="C37" s="8" t="inlineStr">
        <is>
          <t>on/off</t>
        </is>
      </c>
      <c r="D37" s="8" t="inlineStr">
        <is>
          <t>1 = resupply landers arrive on launch windows in Survival and Freedom. Switched off (0) on 22 Oct: the regolith printer is the way to grow the base.</t>
        </is>
      </c>
      <c r="E37" s="10" t="inlineStr">
        <is>
          <t>resupply_enabled</t>
        </is>
      </c>
    </row>
    <row r="38">
      <c r="A38" s="8" t="inlineStr">
        <is>
          <t>Storm warning</t>
        </is>
      </c>
      <c r="B38" s="13" t="n">
        <v>10</v>
      </c>
      <c r="C38" s="8" t="inlineStr">
        <is>
          <t>hours</t>
        </is>
      </c>
      <c r="D38" s="8" t="inlineStr">
        <is>
          <t>How long before a dust storm the forecast warns you. Real orbiters (MRO) photograph the whole planet every sol, so storms are seen coming.</t>
        </is>
      </c>
      <c r="E38" s="10" t="inlineStr">
        <is>
          <t>storm_warning_hours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3" customWidth="1" min="6" max="6"/>
    <col width="12" customWidth="1" min="7" max="7"/>
    <col width="14" customWidth="1" min="8" max="8"/>
    <col width="70" customWidth="1" min="9" max="9"/>
  </cols>
  <sheetData>
    <row r="1">
      <c r="A1" s="7" t="inlineStr">
        <is>
          <t>Room type (game id)</t>
        </is>
      </c>
      <c r="B1" s="7" t="inlineStr">
        <is>
          <t>Room</t>
        </is>
      </c>
      <c r="C1" s="7" t="inlineStr">
        <is>
          <t>Cargo per cell (kg)</t>
        </is>
      </c>
      <c r="D1" s="7" t="inlineStr">
        <is>
          <t>Always-on power per cell (kW)</t>
        </is>
      </c>
      <c r="E1" s="7" t="inlineStr">
        <is>
          <t>Light power per cell (kW)</t>
        </is>
      </c>
      <c r="F1" s="7" t="inlineStr">
        <is>
          <t>Target temperature (C)</t>
        </is>
      </c>
      <c r="G1" s="7" t="inlineStr">
        <is>
          <t>Reference cells</t>
        </is>
      </c>
      <c r="H1" s="7" t="inlineStr">
        <is>
          <t>Reference cargo (kg)</t>
        </is>
      </c>
      <c r="I1" s="7" t="inlineStr">
        <is>
          <t>Notes</t>
        </is>
      </c>
    </row>
    <row r="2">
      <c r="A2" s="8" t="inlineStr">
        <is>
          <t>living</t>
        </is>
      </c>
      <c r="B2" s="8" t="inlineStr">
        <is>
          <t>Living Quarters</t>
        </is>
      </c>
      <c r="C2" s="9" t="n">
        <v>800</v>
      </c>
      <c r="D2" s="14" t="n">
        <v>0.03</v>
      </c>
      <c r="E2" s="14" t="n">
        <v>0.05</v>
      </c>
      <c r="F2" s="15" t="n">
        <v>20</v>
      </c>
      <c r="G2" s="15" t="n">
        <v>9</v>
      </c>
      <c r="H2" s="16">
        <f>C2*G2</f>
        <v/>
      </c>
      <c r="I2" s="8" t="inlineStr">
        <is>
          <t>Every 3 cells give room for 2 crew.</t>
        </is>
      </c>
    </row>
    <row r="3">
      <c r="A3" s="8" t="inlineStr">
        <is>
          <t>galley</t>
        </is>
      </c>
      <c r="B3" s="8" t="inlineStr">
        <is>
          <t>Galley</t>
        </is>
      </c>
      <c r="C3" s="9" t="n">
        <v>800</v>
      </c>
      <c r="D3" s="14" t="n">
        <v>0.03</v>
      </c>
      <c r="E3" s="14" t="n">
        <v>0.05</v>
      </c>
      <c r="F3" s="15" t="n">
        <v>20</v>
      </c>
      <c r="G3" s="15" t="n">
        <v>3</v>
      </c>
      <c r="H3" s="16">
        <f>C3*G3</f>
        <v/>
      </c>
      <c r="I3" s="8" t="inlineStr"/>
    </row>
    <row r="4">
      <c r="A4" s="8" t="inlineStr">
        <is>
          <t>hygiene</t>
        </is>
      </c>
      <c r="B4" s="8" t="inlineStr">
        <is>
          <t>Hygiene</t>
        </is>
      </c>
      <c r="C4" s="9" t="n">
        <v>800</v>
      </c>
      <c r="D4" s="14" t="n">
        <v>0.03</v>
      </c>
      <c r="E4" s="14" t="n">
        <v>0.05</v>
      </c>
      <c r="F4" s="15" t="n">
        <v>21</v>
      </c>
      <c r="G4" s="15" t="n">
        <v>2</v>
      </c>
      <c r="H4" s="16">
        <f>C4*G4</f>
        <v/>
      </c>
      <c r="I4" s="8" t="inlineStr"/>
    </row>
    <row r="5">
      <c r="A5" s="8" t="inlineStr">
        <is>
          <t>medical</t>
        </is>
      </c>
      <c r="B5" s="8" t="inlineStr">
        <is>
          <t>Medical Bay</t>
        </is>
      </c>
      <c r="C5" s="9" t="n">
        <v>800</v>
      </c>
      <c r="D5" s="14" t="n">
        <v>0.03</v>
      </c>
      <c r="E5" s="14" t="n">
        <v>0.05</v>
      </c>
      <c r="F5" s="15" t="n">
        <v>21</v>
      </c>
      <c r="G5" s="15" t="n">
        <v>2</v>
      </c>
      <c r="H5" s="16">
        <f>C5*G5</f>
        <v/>
      </c>
      <c r="I5" s="8" t="inlineStr"/>
    </row>
    <row r="6">
      <c r="A6" s="8" t="inlineStr">
        <is>
          <t>science</t>
        </is>
      </c>
      <c r="B6" s="8" t="inlineStr">
        <is>
          <t>Science Laboratory</t>
        </is>
      </c>
      <c r="C6" s="9" t="n">
        <v>800</v>
      </c>
      <c r="D6" s="14" t="n">
        <v>0.03</v>
      </c>
      <c r="E6" s="14" t="n">
        <v>0.05</v>
      </c>
      <c r="F6" s="15" t="n">
        <v>21</v>
      </c>
      <c r="G6" s="15" t="n">
        <v>4</v>
      </c>
      <c r="H6" s="16">
        <f>C6*G6</f>
        <v/>
      </c>
      <c r="I6" s="8" t="inlineStr"/>
    </row>
    <row r="7">
      <c r="A7" s="8" t="inlineStr">
        <is>
          <t>hydroponics</t>
        </is>
      </c>
      <c r="B7" s="8" t="inlineStr">
        <is>
          <t>Hydroponics</t>
        </is>
      </c>
      <c r="C7" s="9" t="n">
        <v>800</v>
      </c>
      <c r="D7" s="14" t="n">
        <v>0.03</v>
      </c>
      <c r="E7" s="14" t="n">
        <v>0.05</v>
      </c>
      <c r="F7" s="15" t="n">
        <v>24</v>
      </c>
      <c r="G7" s="15" t="n">
        <v>6</v>
      </c>
      <c r="H7" s="16">
        <f>C7*G7</f>
        <v/>
      </c>
      <c r="I7" s="8" t="inlineStr">
        <is>
          <t>Plants like it warm.</t>
        </is>
      </c>
    </row>
    <row r="8">
      <c r="A8" s="8" t="inlineStr">
        <is>
          <t>life_support</t>
        </is>
      </c>
      <c r="B8" s="8" t="inlineStr">
        <is>
          <t>Life Support</t>
        </is>
      </c>
      <c r="C8" s="9" t="n">
        <v>800</v>
      </c>
      <c r="D8" s="14" t="n">
        <v>0.03</v>
      </c>
      <c r="E8" s="14" t="n">
        <v>0.05</v>
      </c>
      <c r="F8" s="15" t="n">
        <v>18</v>
      </c>
      <c r="G8" s="15" t="n">
        <v>4</v>
      </c>
      <c r="H8" s="16">
        <f>C8*G8</f>
        <v/>
      </c>
      <c r="I8" s="8" t="inlineStr"/>
    </row>
    <row r="9">
      <c r="A9" s="8" t="inlineStr">
        <is>
          <t>engineering</t>
        </is>
      </c>
      <c r="B9" s="8" t="inlineStr">
        <is>
          <t>Power &amp; Engineering</t>
        </is>
      </c>
      <c r="C9" s="9" t="n">
        <v>800</v>
      </c>
      <c r="D9" s="14" t="n">
        <v>0.03</v>
      </c>
      <c r="E9" s="14" t="n">
        <v>0.05</v>
      </c>
      <c r="F9" s="15" t="n">
        <v>18</v>
      </c>
      <c r="G9" s="15" t="n">
        <v>3</v>
      </c>
      <c r="H9" s="16">
        <f>C9*G9</f>
        <v/>
      </c>
      <c r="I9" s="8" t="inlineStr"/>
    </row>
    <row r="10">
      <c r="A10" s="8" t="inlineStr">
        <is>
          <t>storage</t>
        </is>
      </c>
      <c r="B10" s="8" t="inlineStr">
        <is>
          <t>Storage</t>
        </is>
      </c>
      <c r="C10" s="9" t="n">
        <v>700</v>
      </c>
      <c r="D10" s="14" t="n">
        <v>0.03</v>
      </c>
      <c r="E10" s="14" t="n">
        <v>0.05</v>
      </c>
      <c r="F10" s="15" t="n">
        <v>12</v>
      </c>
      <c r="G10" s="15" t="n">
        <v>3</v>
      </c>
      <c r="H10" s="16">
        <f>C10*G10</f>
        <v/>
      </c>
      <c r="I10" s="8" t="inlineStr">
        <is>
          <t>Kept cool; less fit-out.</t>
        </is>
      </c>
    </row>
    <row r="11">
      <c r="A11" s="8" t="inlineStr">
        <is>
          <t>waste_management</t>
        </is>
      </c>
      <c r="B11" s="8" t="inlineStr">
        <is>
          <t>Waste Management</t>
        </is>
      </c>
      <c r="C11" s="9" t="n">
        <v>800</v>
      </c>
      <c r="D11" s="14" t="n">
        <v>0.03</v>
      </c>
      <c r="E11" s="14" t="n">
        <v>0.05</v>
      </c>
      <c r="F11" s="15" t="n">
        <v>16</v>
      </c>
      <c r="G11" s="15" t="n">
        <v>2</v>
      </c>
      <c r="H11" s="16">
        <f>C11*G11</f>
        <v/>
      </c>
      <c r="I11" s="8" t="inlineStr"/>
    </row>
    <row r="12">
      <c r="A12" s="8" t="inlineStr">
        <is>
          <t>communications</t>
        </is>
      </c>
      <c r="B12" s="8" t="inlineStr">
        <is>
          <t>Mission Operations</t>
        </is>
      </c>
      <c r="C12" s="9" t="n">
        <v>800</v>
      </c>
      <c r="D12" s="14" t="n">
        <v>0.03</v>
      </c>
      <c r="E12" s="14" t="n">
        <v>0.05</v>
      </c>
      <c r="F12" s="15" t="n">
        <v>20</v>
      </c>
      <c r="G12" s="15" t="n">
        <v>2</v>
      </c>
      <c r="H12" s="16">
        <f>C12*G12</f>
        <v/>
      </c>
      <c r="I12" s="8" t="inlineStr"/>
    </row>
    <row r="13">
      <c r="A13" s="8" t="inlineStr">
        <is>
          <t>corridor</t>
        </is>
      </c>
      <c r="B13" s="8" t="inlineStr">
        <is>
          <t>Corridor</t>
        </is>
      </c>
      <c r="C13" s="9" t="n">
        <v>600</v>
      </c>
      <c r="D13" s="14" t="n">
        <v>0.03</v>
      </c>
      <c r="E13" s="14" t="n">
        <v>0.05</v>
      </c>
      <c r="F13" s="15" t="n">
        <v>16</v>
      </c>
      <c r="G13" s="15" t="n">
        <v>4</v>
      </c>
      <c r="H13" s="16">
        <f>C13*G13</f>
        <v/>
      </c>
      <c r="I13" s="8" t="inlineStr">
        <is>
          <t>Lighter, narrower structure.</t>
        </is>
      </c>
    </row>
    <row r="14">
      <c r="A14" s="8" t="inlineStr">
        <is>
          <t>airlock</t>
        </is>
      </c>
      <c r="B14" s="8" t="inlineStr">
        <is>
          <t>Airlock</t>
        </is>
      </c>
      <c r="C14" s="9" t="n">
        <v>1500</v>
      </c>
      <c r="D14" s="14" t="n">
        <v>0.03</v>
      </c>
      <c r="E14" s="14" t="n">
        <v>0.05</v>
      </c>
      <c r="F14" s="15" t="n">
        <v>8</v>
      </c>
      <c r="G14" s="15" t="n">
        <v>2</v>
      </c>
      <c r="H14" s="16">
        <f>C14*G14</f>
        <v/>
      </c>
      <c r="I14" s="8" t="inlineStr">
        <is>
          <t>Pumps, doors and seals make it heavy.</t>
        </is>
      </c>
    </row>
    <row r="15">
      <c r="A15" s="8" t="inlineStr">
        <is>
          <t>vehicle_bay</t>
        </is>
      </c>
      <c r="B15" s="8" t="inlineStr">
        <is>
          <t>Vehicle Bay</t>
        </is>
      </c>
      <c r="C15" s="9" t="n">
        <v>900</v>
      </c>
      <c r="D15" s="14" t="n">
        <v>0.03</v>
      </c>
      <c r="E15" s="14" t="n">
        <v>0.05</v>
      </c>
      <c r="F15" s="15" t="n">
        <v>6</v>
      </c>
      <c r="G15" s="15" t="n">
        <v>0</v>
      </c>
      <c r="H15" s="16">
        <f>C15*G15</f>
        <v/>
      </c>
      <c r="I15" s="8" t="inlineStr">
        <is>
          <t>Large door; kept cold.</t>
        </is>
      </c>
    </row>
    <row r="16">
      <c r="A16" s="17" t="inlineStr">
        <is>
          <t>Total</t>
        </is>
      </c>
      <c r="G16" s="17">
        <f>SUM(G2:G15)</f>
        <v/>
      </c>
      <c r="H16" s="18">
        <f>SUM(H2:H15)</f>
        <v/>
      </c>
    </row>
    <row r="18">
      <c r="A18" s="8" t="inlineStr">
        <is>
          <t>Hull window (each)</t>
        </is>
      </c>
      <c r="C18" s="13" t="n">
        <v>150</v>
      </c>
      <c r="I18" s="8" t="inlineStr">
        <is>
          <t>Extra cargo for each window. Heat loss is in Settings.</t>
        </is>
      </c>
    </row>
    <row r="19">
      <c r="A19" s="8" t="inlineStr">
        <is>
          <t>Always-on power is ventilation and controls. Light power counts for 'Room lights on per sol' hours.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9" customWidth="1" min="17" max="17"/>
    <col width="8" customWidth="1" min="18" max="18"/>
    <col width="10" customWidth="1" min="19" max="19"/>
    <col width="10" customWidth="1" min="20" max="20"/>
    <col width="70" customWidth="1" min="21" max="21"/>
  </cols>
  <sheetData>
    <row r="1">
      <c r="A1" s="7" t="inlineStr">
        <is>
          <t>Item (game id)</t>
        </is>
      </c>
      <c r="B1" s="7" t="inlineStr">
        <is>
          <t>Name</t>
        </is>
      </c>
      <c r="C1" s="7" t="inlineStr">
        <is>
          <t>Room</t>
        </is>
      </c>
      <c r="D1" s="7" t="inlineStr">
        <is>
          <t>Cargo (kg)</t>
        </is>
      </c>
      <c r="E1" s="7" t="inlineStr">
        <is>
          <t>Power when on (kW)</t>
        </is>
      </c>
      <c r="F1" s="7" t="inlineStr">
        <is>
          <t>Hours on per sol</t>
        </is>
      </c>
      <c r="G1" s="7" t="inlineStr">
        <is>
          <t>Average power (kW)</t>
        </is>
      </c>
      <c r="H1" s="7" t="inlineStr">
        <is>
          <t>Makes power (kW)</t>
        </is>
      </c>
      <c r="I1" s="7" t="inlineStr">
        <is>
          <t>O2 (kg/sol)</t>
        </is>
      </c>
      <c r="J1" s="7" t="inlineStr">
        <is>
          <t>CO2 (kg/sol)</t>
        </is>
      </c>
      <c r="K1" s="7" t="inlineStr">
        <is>
          <t>Water (L/sol)</t>
        </is>
      </c>
      <c r="L1" s="7" t="inlineStr">
        <is>
          <t>Food (kg/sol)</t>
        </is>
      </c>
      <c r="M1" s="7" t="inlineStr">
        <is>
          <t>Stores food (kg)</t>
        </is>
      </c>
      <c r="N1" s="7" t="inlineStr">
        <is>
          <t>Stores water (L)</t>
        </is>
      </c>
      <c r="O1" s="7" t="inlineStr">
        <is>
          <t>Stores O2 (kg)</t>
        </is>
      </c>
      <c r="P1" s="7" t="inlineStr">
        <is>
          <t>Stores energy (kWh)</t>
        </is>
      </c>
      <c r="Q1" s="7" t="inlineStr">
        <is>
          <t>Heats room (kW)</t>
        </is>
      </c>
      <c r="R1" s="7" t="inlineStr">
        <is>
          <t>Berths</t>
        </is>
      </c>
      <c r="S1" s="7" t="inlineStr">
        <is>
          <t>Research (per sol)</t>
        </is>
      </c>
      <c r="T1" s="7" t="inlineStr">
        <is>
          <t>Reference qty</t>
        </is>
      </c>
      <c r="U1" s="7" t="inlineStr">
        <is>
          <t>Notes / real-world basis</t>
        </is>
      </c>
    </row>
    <row r="2">
      <c r="A2" s="8" t="inlineStr">
        <is>
          <t>crew_bunk</t>
        </is>
      </c>
      <c r="B2" s="8" t="inlineStr">
        <is>
          <t>Crew Bunk</t>
        </is>
      </c>
      <c r="C2" s="8" t="inlineStr">
        <is>
          <t>living</t>
        </is>
      </c>
      <c r="D2" s="13" t="n">
        <v>80</v>
      </c>
      <c r="E2" s="14" t="n">
        <v>0.02</v>
      </c>
      <c r="F2" s="15" t="n">
        <v>6</v>
      </c>
      <c r="G2" s="19">
        <f>E2*F2/24</f>
        <v/>
      </c>
      <c r="H2" s="13" t="n">
        <v>0</v>
      </c>
      <c r="I2" s="13" t="n">
        <v>0</v>
      </c>
      <c r="J2" s="13" t="n">
        <v>0</v>
      </c>
      <c r="K2" s="13" t="n">
        <v>0</v>
      </c>
      <c r="L2" s="13" t="n">
        <v>0</v>
      </c>
      <c r="M2" s="13" t="n">
        <v>0</v>
      </c>
      <c r="N2" s="13" t="n">
        <v>0</v>
      </c>
      <c r="O2" s="13" t="n">
        <v>0</v>
      </c>
      <c r="P2" s="13" t="n">
        <v>0</v>
      </c>
      <c r="Q2" s="13" t="n">
        <v>0</v>
      </c>
      <c r="R2" s="13" t="n">
        <v>1</v>
      </c>
      <c r="S2" s="13" t="n">
        <v>0</v>
      </c>
      <c r="T2" s="15" t="n">
        <v>6</v>
      </c>
      <c r="U2" s="8" t="inlineStr">
        <is>
          <t>Bunk with a reading light. One berth.</t>
        </is>
      </c>
    </row>
    <row r="3">
      <c r="A3" s="8" t="inlineStr">
        <is>
          <t>locker</t>
        </is>
      </c>
      <c r="B3" s="8" t="inlineStr">
        <is>
          <t>Personal Locker</t>
        </is>
      </c>
      <c r="C3" s="8" t="inlineStr">
        <is>
          <t>living</t>
        </is>
      </c>
      <c r="D3" s="13" t="n">
        <v>40</v>
      </c>
      <c r="E3" s="14" t="n">
        <v>0</v>
      </c>
      <c r="F3" s="15" t="n">
        <v>0</v>
      </c>
      <c r="G3" s="19">
        <f>E3*F3/24</f>
        <v/>
      </c>
      <c r="H3" s="13" t="n">
        <v>0</v>
      </c>
      <c r="I3" s="13" t="n">
        <v>0</v>
      </c>
      <c r="J3" s="13" t="n">
        <v>0</v>
      </c>
      <c r="K3" s="13" t="n">
        <v>0</v>
      </c>
      <c r="L3" s="13" t="n">
        <v>0</v>
      </c>
      <c r="M3" s="13" t="n">
        <v>0</v>
      </c>
      <c r="N3" s="13" t="n">
        <v>0</v>
      </c>
      <c r="O3" s="13" t="n">
        <v>0</v>
      </c>
      <c r="P3" s="13" t="n">
        <v>0</v>
      </c>
      <c r="Q3" s="13" t="n">
        <v>0</v>
      </c>
      <c r="R3" s="13" t="n">
        <v>0</v>
      </c>
      <c r="S3" s="13" t="n">
        <v>0</v>
      </c>
      <c r="T3" s="15" t="n">
        <v>6</v>
      </c>
      <c r="U3" s="8" t="inlineStr">
        <is>
          <t>Personal storage.</t>
        </is>
      </c>
    </row>
    <row r="4">
      <c r="A4" s="8" t="inlineStr">
        <is>
          <t>common_table</t>
        </is>
      </c>
      <c r="B4" s="8" t="inlineStr">
        <is>
          <t>Common Table</t>
        </is>
      </c>
      <c r="C4" s="8" t="inlineStr">
        <is>
          <t>living</t>
        </is>
      </c>
      <c r="D4" s="13" t="n">
        <v>60</v>
      </c>
      <c r="E4" s="14" t="n">
        <v>0</v>
      </c>
      <c r="F4" s="15" t="n">
        <v>0</v>
      </c>
      <c r="G4" s="19">
        <f>E4*F4/24</f>
        <v/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  <c r="N4" s="13" t="n">
        <v>0</v>
      </c>
      <c r="O4" s="13" t="n">
        <v>0</v>
      </c>
      <c r="P4" s="13" t="n">
        <v>0</v>
      </c>
      <c r="Q4" s="13" t="n">
        <v>0</v>
      </c>
      <c r="R4" s="13" t="n">
        <v>0</v>
      </c>
      <c r="S4" s="13" t="n">
        <v>0</v>
      </c>
      <c r="T4" s="15" t="n">
        <v>1</v>
      </c>
      <c r="U4" s="8" t="inlineStr"/>
    </row>
    <row r="5">
      <c r="A5" s="8" t="inlineStr">
        <is>
          <t>task_light</t>
        </is>
      </c>
      <c r="B5" s="8" t="inlineStr">
        <is>
          <t>Task Light</t>
        </is>
      </c>
      <c r="C5" s="8" t="inlineStr">
        <is>
          <t>living</t>
        </is>
      </c>
      <c r="D5" s="13" t="n">
        <v>5</v>
      </c>
      <c r="E5" s="14" t="n">
        <v>0.03</v>
      </c>
      <c r="F5" s="15" t="n">
        <v>6</v>
      </c>
      <c r="G5" s="19">
        <f>E5*F5/24</f>
        <v/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0</v>
      </c>
      <c r="T5" s="15" t="n">
        <v>2</v>
      </c>
      <c r="U5" s="8" t="inlineStr">
        <is>
          <t>Lights only while switched on.</t>
        </is>
      </c>
    </row>
    <row r="6">
      <c r="A6" s="8" t="inlineStr">
        <is>
          <t>privacy_divider</t>
        </is>
      </c>
      <c r="B6" s="8" t="inlineStr">
        <is>
          <t>Privacy Divider</t>
        </is>
      </c>
      <c r="C6" s="8" t="inlineStr">
        <is>
          <t>living</t>
        </is>
      </c>
      <c r="D6" s="13" t="n">
        <v>25</v>
      </c>
      <c r="E6" s="14" t="n">
        <v>0</v>
      </c>
      <c r="F6" s="15" t="n">
        <v>0</v>
      </c>
      <c r="G6" s="19">
        <f>E6*F6/24</f>
        <v/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15" t="n">
        <v>0</v>
      </c>
      <c r="U6" s="8" t="inlineStr"/>
    </row>
    <row r="7">
      <c r="A7" s="8" t="inlineStr">
        <is>
          <t>exercise_station</t>
        </is>
      </c>
      <c r="B7" s="8" t="inlineStr">
        <is>
          <t>Exercise Station</t>
        </is>
      </c>
      <c r="C7" s="8" t="inlineStr">
        <is>
          <t>living</t>
        </is>
      </c>
      <c r="D7" s="13" t="n">
        <v>120</v>
      </c>
      <c r="E7" s="14" t="n">
        <v>0.1</v>
      </c>
      <c r="F7" s="15" t="n">
        <v>2</v>
      </c>
      <c r="G7" s="19">
        <f>E7*F7/24</f>
        <v/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5" t="n">
        <v>1</v>
      </c>
      <c r="U7" s="8" t="inlineStr">
        <is>
          <t>Keeps bones and muscles strong (crew health, later).</t>
        </is>
      </c>
    </row>
    <row r="8">
      <c r="A8" s="8" t="inlineStr">
        <is>
          <t>science_workbench</t>
        </is>
      </c>
      <c r="B8" s="8" t="inlineStr">
        <is>
          <t>Science Workbench</t>
        </is>
      </c>
      <c r="C8" s="8" t="inlineStr">
        <is>
          <t>science</t>
        </is>
      </c>
      <c r="D8" s="13" t="n">
        <v>150</v>
      </c>
      <c r="E8" s="14" t="n">
        <v>0.5</v>
      </c>
      <c r="F8" s="15" t="n">
        <v>10</v>
      </c>
      <c r="G8" s="19">
        <f>E8*F8/24</f>
        <v/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1</v>
      </c>
      <c r="T8" s="15" t="n">
        <v>2</v>
      </c>
      <c r="U8" s="8" t="inlineStr"/>
    </row>
    <row r="9">
      <c r="A9" s="8" t="inlineStr">
        <is>
          <t>microscope_station</t>
        </is>
      </c>
      <c r="B9" s="8" t="inlineStr">
        <is>
          <t>Microscope Station</t>
        </is>
      </c>
      <c r="C9" s="8" t="inlineStr">
        <is>
          <t>science</t>
        </is>
      </c>
      <c r="D9" s="13" t="n">
        <v>40</v>
      </c>
      <c r="E9" s="14" t="n">
        <v>0.1</v>
      </c>
      <c r="F9" s="15" t="n">
        <v>6</v>
      </c>
      <c r="G9" s="19">
        <f>E9*F9/24</f>
        <v/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4" t="n">
        <v>0.5</v>
      </c>
      <c r="T9" s="15" t="n">
        <v>1</v>
      </c>
      <c r="U9" s="8" t="inlineStr"/>
    </row>
    <row r="10">
      <c r="A10" s="8" t="inlineStr">
        <is>
          <t>sample_storage_cabinet</t>
        </is>
      </c>
      <c r="B10" s="8" t="inlineStr">
        <is>
          <t>Sample Storage Cabinet</t>
        </is>
      </c>
      <c r="C10" s="8" t="inlineStr">
        <is>
          <t>science</t>
        </is>
      </c>
      <c r="D10" s="13" t="n">
        <v>60</v>
      </c>
      <c r="E10" s="14" t="n">
        <v>0.05</v>
      </c>
      <c r="F10" s="15" t="n">
        <v>24</v>
      </c>
      <c r="G10" s="19">
        <f>E10*F10/24</f>
        <v/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5" t="n">
        <v>1</v>
      </c>
      <c r="U10" s="8" t="inlineStr">
        <is>
          <t>Cooled sample store.</t>
        </is>
      </c>
    </row>
    <row r="11">
      <c r="A11" s="8" t="inlineStr">
        <is>
          <t>grow_tray</t>
        </is>
      </c>
      <c r="B11" s="8" t="inlineStr">
        <is>
          <t>Grow Tray</t>
        </is>
      </c>
      <c r="C11" s="8" t="inlineStr">
        <is>
          <t>hydroponics</t>
        </is>
      </c>
      <c r="D11" s="13" t="n">
        <v>150</v>
      </c>
      <c r="E11" s="14" t="n">
        <v>0.6</v>
      </c>
      <c r="F11" s="15" t="n">
        <v>16</v>
      </c>
      <c r="G11" s="19">
        <f>E11*F11/24</f>
        <v/>
      </c>
      <c r="H11" s="13" t="n">
        <v>0</v>
      </c>
      <c r="I11" s="14" t="n">
        <v>0.07000000000000001</v>
      </c>
      <c r="J11" s="14" t="n">
        <v>-0.1</v>
      </c>
      <c r="K11" s="14" t="n">
        <v>-0.5</v>
      </c>
      <c r="L11" s="14" t="n">
        <v>0.4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5" t="n">
        <v>10</v>
      </c>
      <c r="U11" s="8" t="inlineStr">
        <is>
          <t>LED grow lights 16 h a day. About 2 m2 of crops. Plants absorb a little CO2.</t>
        </is>
      </c>
    </row>
    <row r="12">
      <c r="A12" s="8" t="inlineStr">
        <is>
          <t>seedling_station</t>
        </is>
      </c>
      <c r="B12" s="8" t="inlineStr">
        <is>
          <t>Seedling Station</t>
        </is>
      </c>
      <c r="C12" s="8" t="inlineStr">
        <is>
          <t>hydroponics</t>
        </is>
      </c>
      <c r="D12" s="13" t="n">
        <v>80</v>
      </c>
      <c r="E12" s="14" t="n">
        <v>0.2</v>
      </c>
      <c r="F12" s="15" t="n">
        <v>16</v>
      </c>
      <c r="G12" s="19">
        <f>E12*F12/24</f>
        <v/>
      </c>
      <c r="H12" s="13" t="n">
        <v>0</v>
      </c>
      <c r="I12" s="13" t="n">
        <v>0</v>
      </c>
      <c r="J12" s="13" t="n">
        <v>0</v>
      </c>
      <c r="K12" s="14" t="n">
        <v>-0.1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5" t="n">
        <v>1</v>
      </c>
      <c r="U12" s="8" t="inlineStr">
        <is>
          <t>Starts new plants (faster regrowth, later).</t>
        </is>
      </c>
    </row>
    <row r="13">
      <c r="A13" s="8" t="inlineStr">
        <is>
          <t>nutrient_mixer</t>
        </is>
      </c>
      <c r="B13" s="8" t="inlineStr">
        <is>
          <t>Nutrient Mixer</t>
        </is>
      </c>
      <c r="C13" s="8" t="inlineStr">
        <is>
          <t>hydroponics</t>
        </is>
      </c>
      <c r="D13" s="13" t="n">
        <v>90</v>
      </c>
      <c r="E13" s="14" t="n">
        <v>0.2</v>
      </c>
      <c r="F13" s="15" t="n">
        <v>24</v>
      </c>
      <c r="G13" s="19">
        <f>E13*F13/24</f>
        <v/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5" t="n">
        <v>1</v>
      </c>
      <c r="U13" s="8" t="inlineStr">
        <is>
          <t>Feeds up to 8 grow trays or planters in its room.</t>
        </is>
      </c>
    </row>
    <row r="14">
      <c r="A14" s="8" t="inlineStr">
        <is>
          <t>harvest_cart</t>
        </is>
      </c>
      <c r="B14" s="8" t="inlineStr">
        <is>
          <t>Harvest Cart</t>
        </is>
      </c>
      <c r="C14" s="8" t="inlineStr">
        <is>
          <t>hydroponics</t>
        </is>
      </c>
      <c r="D14" s="13" t="n">
        <v>30</v>
      </c>
      <c r="E14" s="14" t="n">
        <v>0</v>
      </c>
      <c r="F14" s="15" t="n">
        <v>0</v>
      </c>
      <c r="G14" s="19">
        <f>E14*F14/24</f>
        <v/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3" t="n">
        <v>0</v>
      </c>
      <c r="T14" s="15" t="n">
        <v>1</v>
      </c>
      <c r="U14" s="8" t="inlineStr"/>
    </row>
    <row r="15">
      <c r="A15" s="8" t="inlineStr">
        <is>
          <t>greenhouse_planter</t>
        </is>
      </c>
      <c r="B15" s="8" t="inlineStr">
        <is>
          <t>Large Planter</t>
        </is>
      </c>
      <c r="C15" s="8" t="inlineStr">
        <is>
          <t>hydroponics</t>
        </is>
      </c>
      <c r="D15" s="13" t="n">
        <v>200</v>
      </c>
      <c r="E15" s="14" t="n">
        <v>0.8</v>
      </c>
      <c r="F15" s="15" t="n">
        <v>16</v>
      </c>
      <c r="G15" s="19">
        <f>E15*F15/24</f>
        <v/>
      </c>
      <c r="H15" s="13" t="n">
        <v>0</v>
      </c>
      <c r="I15" s="14" t="n">
        <v>0.1</v>
      </c>
      <c r="J15" s="14" t="n">
        <v>-0.15</v>
      </c>
      <c r="K15" s="14" t="n">
        <v>-0.7</v>
      </c>
      <c r="L15" s="14" t="n">
        <v>0.6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5" t="n">
        <v>0</v>
      </c>
      <c r="U15" s="8" t="inlineStr">
        <is>
          <t>Larger crop bed.</t>
        </is>
      </c>
    </row>
    <row r="16">
      <c r="A16" s="8" t="inlineStr">
        <is>
          <t>air_recycler</t>
        </is>
      </c>
      <c r="B16" s="8" t="inlineStr">
        <is>
          <t>Air Recycler</t>
        </is>
      </c>
      <c r="C16" s="8" t="inlineStr">
        <is>
          <t>life_support</t>
        </is>
      </c>
      <c r="D16" s="13" t="n">
        <v>250</v>
      </c>
      <c r="E16" s="14" t="n">
        <v>0.8</v>
      </c>
      <c r="F16" s="15" t="n">
        <v>24</v>
      </c>
      <c r="G16" s="19">
        <f>E16*F16/24</f>
        <v/>
      </c>
      <c r="H16" s="13" t="n">
        <v>0</v>
      </c>
      <c r="I16" s="13" t="n">
        <v>0</v>
      </c>
      <c r="J16" s="13" t="n">
        <v>-5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5" t="n">
        <v>2</v>
      </c>
      <c r="U16" s="8" t="inlineStr">
        <is>
          <t>CO2 scrubber, like the ISS CDRA. Enough for 5 crew.</t>
        </is>
      </c>
    </row>
    <row r="17">
      <c r="A17" s="8" t="inlineStr">
        <is>
          <t>oxygen_generator</t>
        </is>
      </c>
      <c r="B17" s="8" t="inlineStr">
        <is>
          <t>Oxygen Generator</t>
        </is>
      </c>
      <c r="C17" s="8" t="inlineStr">
        <is>
          <t>life_support</t>
        </is>
      </c>
      <c r="D17" s="13" t="n">
        <v>300</v>
      </c>
      <c r="E17" s="14" t="n">
        <v>1.5</v>
      </c>
      <c r="F17" s="15" t="n">
        <v>24</v>
      </c>
      <c r="G17" s="19">
        <f>E17*F17/24</f>
        <v/>
      </c>
      <c r="H17" s="13" t="n">
        <v>0</v>
      </c>
      <c r="I17" s="13" t="n">
        <v>3</v>
      </c>
      <c r="J17" s="13" t="n">
        <v>0</v>
      </c>
      <c r="K17" s="14" t="n">
        <v>-3.4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5" t="n">
        <v>2</v>
      </c>
      <c r="U17" s="8" t="inlineStr">
        <is>
          <t>NEW MODEL NEEDED. Splits water into oxygen (electrolysis), like the ISS OGA.</t>
        </is>
      </c>
    </row>
    <row r="18">
      <c r="A18" s="8" t="inlineStr">
        <is>
          <t>water_reclaimer</t>
        </is>
      </c>
      <c r="B18" s="8" t="inlineStr">
        <is>
          <t>Water Reclaimer</t>
        </is>
      </c>
      <c r="C18" s="8" t="inlineStr">
        <is>
          <t>life_support</t>
        </is>
      </c>
      <c r="D18" s="13" t="n">
        <v>300</v>
      </c>
      <c r="E18" s="14" t="n">
        <v>0.6</v>
      </c>
      <c r="F18" s="15" t="n">
        <v>24</v>
      </c>
      <c r="G18" s="19">
        <f>E18*F18/24</f>
        <v/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300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5" t="n">
        <v>0</v>
      </c>
      <c r="U18" s="8" t="inlineStr">
        <is>
          <t>Recovers used water (see Settings) up to 70 L a sol. Reference qty is set per site in Balance Check.</t>
        </is>
      </c>
    </row>
    <row r="19">
      <c r="A19" s="8" t="inlineStr">
        <is>
          <t>oxygen_reserve_tank</t>
        </is>
      </c>
      <c r="B19" s="8" t="inlineStr">
        <is>
          <t>Oxygen Reserve</t>
        </is>
      </c>
      <c r="C19" s="8" t="inlineStr">
        <is>
          <t>life_support</t>
        </is>
      </c>
      <c r="D19" s="13" t="n">
        <v>150</v>
      </c>
      <c r="E19" s="14" t="n">
        <v>0</v>
      </c>
      <c r="F19" s="15" t="n">
        <v>0</v>
      </c>
      <c r="G19" s="19">
        <f>E19*F19/24</f>
        <v/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100</v>
      </c>
      <c r="P19" s="13" t="n">
        <v>0</v>
      </c>
      <c r="Q19" s="13" t="n">
        <v>0</v>
      </c>
      <c r="R19" s="13" t="n">
        <v>0</v>
      </c>
      <c r="S19" s="13" t="n">
        <v>0</v>
      </c>
      <c r="T19" s="15" t="n">
        <v>1</v>
      </c>
      <c r="U19" s="8" t="inlineStr">
        <is>
          <t>Filled on Earth: the oxygen inside counts as cargo too.</t>
        </is>
      </c>
    </row>
    <row r="20">
      <c r="A20" s="8" t="inlineStr">
        <is>
          <t>thermal_control_unit</t>
        </is>
      </c>
      <c r="B20" s="8" t="inlineStr">
        <is>
          <t>Thermal Control Unit</t>
        </is>
      </c>
      <c r="C20" s="8" t="inlineStr">
        <is>
          <t>life_support</t>
        </is>
      </c>
      <c r="D20" s="13" t="n">
        <v>250</v>
      </c>
      <c r="E20" s="14" t="n">
        <v>0.3</v>
      </c>
      <c r="F20" s="15" t="n">
        <v>24</v>
      </c>
      <c r="G20" s="19">
        <f>E20*F20/24</f>
        <v/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12</v>
      </c>
      <c r="R20" s="13" t="n">
        <v>0</v>
      </c>
      <c r="S20" s="13" t="n">
        <v>0</v>
      </c>
      <c r="T20" s="15" t="n">
        <v>1</v>
      </c>
      <c r="U20" s="8" t="inlineStr">
        <is>
          <t>Heat pump: moves up to 12 kW of heat into (or out of) rooms. Its pumping power is worked out in Balance Check.</t>
        </is>
      </c>
    </row>
    <row r="21">
      <c r="A21" s="8" t="inlineStr">
        <is>
          <t>cargo_rack</t>
        </is>
      </c>
      <c r="B21" s="8" t="inlineStr">
        <is>
          <t>Cargo Rack</t>
        </is>
      </c>
      <c r="C21" s="8" t="inlineStr">
        <is>
          <t>storage</t>
        </is>
      </c>
      <c r="D21" s="13" t="n">
        <v>60</v>
      </c>
      <c r="E21" s="14" t="n">
        <v>0</v>
      </c>
      <c r="F21" s="15" t="n">
        <v>0</v>
      </c>
      <c r="G21" s="19">
        <f>E21*F21/24</f>
        <v/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500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5" t="n">
        <v>1</v>
      </c>
      <c r="U21" s="8" t="inlineStr">
        <is>
          <t>Holds supplies brought from Earth.</t>
        </is>
      </c>
    </row>
    <row r="22">
      <c r="A22" s="8" t="inlineStr">
        <is>
          <t>tool_bench</t>
        </is>
      </c>
      <c r="B22" s="8" t="inlineStr">
        <is>
          <t>Tool Bench</t>
        </is>
      </c>
      <c r="C22" s="8" t="inlineStr">
        <is>
          <t>storage</t>
        </is>
      </c>
      <c r="D22" s="13" t="n">
        <v>120</v>
      </c>
      <c r="E22" s="14" t="n">
        <v>0.3</v>
      </c>
      <c r="F22" s="15" t="n">
        <v>2</v>
      </c>
      <c r="G22" s="19">
        <f>E22*F22/24</f>
        <v/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5" t="n">
        <v>1</v>
      </c>
      <c r="U22" s="8" t="inlineStr">
        <is>
          <t>Repairs (spare parts, later).</t>
        </is>
      </c>
    </row>
    <row r="23">
      <c r="A23" s="8" t="inlineStr">
        <is>
          <t>rover_charger</t>
        </is>
      </c>
      <c r="B23" s="8" t="inlineStr">
        <is>
          <t>Rover Charger</t>
        </is>
      </c>
      <c r="C23" s="8" t="inlineStr">
        <is>
          <t>vehicle_bay</t>
        </is>
      </c>
      <c r="D23" s="13" t="n">
        <v>150</v>
      </c>
      <c r="E23" s="14" t="n">
        <v>3</v>
      </c>
      <c r="F23" s="15" t="n">
        <v>4</v>
      </c>
      <c r="G23" s="19">
        <f>E23*F23/24</f>
        <v/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5" t="n">
        <v>0</v>
      </c>
      <c r="U23" s="8" t="inlineStr">
        <is>
          <t>Charges the rover's batteries.</t>
        </is>
      </c>
    </row>
    <row r="24">
      <c r="A24" s="8" t="inlineStr">
        <is>
          <t>eva_tool_station</t>
        </is>
      </c>
      <c r="B24" s="8" t="inlineStr">
        <is>
          <t>EVA Tool Station</t>
        </is>
      </c>
      <c r="C24" s="8" t="inlineStr">
        <is>
          <t>vehicle_bay</t>
        </is>
      </c>
      <c r="D24" s="13" t="n">
        <v>100</v>
      </c>
      <c r="E24" s="14" t="n">
        <v>0</v>
      </c>
      <c r="F24" s="15" t="n">
        <v>0</v>
      </c>
      <c r="G24" s="19">
        <f>E24*F24/24</f>
        <v/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5" t="n">
        <v>0</v>
      </c>
      <c r="U24" s="8" t="inlineStr"/>
    </row>
    <row r="25">
      <c r="A25" s="8" t="inlineStr">
        <is>
          <t>suit_rack</t>
        </is>
      </c>
      <c r="B25" s="8" t="inlineStr">
        <is>
          <t>Suit Rack</t>
        </is>
      </c>
      <c r="C25" s="8" t="inlineStr">
        <is>
          <t>vehicle_bay</t>
        </is>
      </c>
      <c r="D25" s="13" t="n">
        <v>120</v>
      </c>
      <c r="E25" s="14" t="n">
        <v>0.2</v>
      </c>
      <c r="F25" s="15" t="n">
        <v>24</v>
      </c>
      <c r="G25" s="19">
        <f>E25*F25/24</f>
        <v/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5" t="n">
        <v>1</v>
      </c>
      <c r="U25" s="8" t="inlineStr">
        <is>
          <t>Keeps suit batteries charged.</t>
        </is>
      </c>
    </row>
    <row r="26">
      <c r="A26" s="8" t="inlineStr">
        <is>
          <t>corridor_light_strip</t>
        </is>
      </c>
      <c r="B26" s="8" t="inlineStr">
        <is>
          <t>Corridor Light Strip</t>
        </is>
      </c>
      <c r="C26" s="8" t="inlineStr">
        <is>
          <t>corridor</t>
        </is>
      </c>
      <c r="D26" s="13" t="n">
        <v>10</v>
      </c>
      <c r="E26" s="14" t="n">
        <v>0.02</v>
      </c>
      <c r="F26" s="15" t="n">
        <v>12</v>
      </c>
      <c r="G26" s="19">
        <f>E26*F26/24</f>
        <v/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5" t="n">
        <v>4</v>
      </c>
      <c r="U26" s="8" t="inlineStr"/>
    </row>
    <row r="27">
      <c r="A27" s="8" t="inlineStr">
        <is>
          <t>wayfinding_panel</t>
        </is>
      </c>
      <c r="B27" s="8" t="inlineStr">
        <is>
          <t>Wayfinding Panel</t>
        </is>
      </c>
      <c r="C27" s="8" t="inlineStr">
        <is>
          <t>corridor</t>
        </is>
      </c>
      <c r="D27" s="13" t="n">
        <v>10</v>
      </c>
      <c r="E27" s="14" t="n">
        <v>0.01</v>
      </c>
      <c r="F27" s="15" t="n">
        <v>24</v>
      </c>
      <c r="G27" s="19">
        <f>E27*F27/24</f>
        <v/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5" t="n">
        <v>0</v>
      </c>
      <c r="U27" s="8" t="inlineStr"/>
    </row>
    <row r="28">
      <c r="A28" s="8" t="inlineStr">
        <is>
          <t>utility_conduit</t>
        </is>
      </c>
      <c r="B28" s="8" t="inlineStr">
        <is>
          <t>Utility Conduit</t>
        </is>
      </c>
      <c r="C28" s="8" t="inlineStr">
        <is>
          <t>corridor</t>
        </is>
      </c>
      <c r="D28" s="13" t="n">
        <v>30</v>
      </c>
      <c r="E28" s="14" t="n">
        <v>0</v>
      </c>
      <c r="F28" s="15" t="n">
        <v>0</v>
      </c>
      <c r="G28" s="19">
        <f>E28*F28/24</f>
        <v/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5" t="n">
        <v>0</v>
      </c>
      <c r="U28" s="8" t="inlineStr"/>
    </row>
    <row r="29">
      <c r="A29" s="8" t="inlineStr">
        <is>
          <t>airlock_control_panel</t>
        </is>
      </c>
      <c r="B29" s="8" t="inlineStr">
        <is>
          <t>Airlock Control Panel</t>
        </is>
      </c>
      <c r="C29" s="8" t="inlineStr">
        <is>
          <t>airlock</t>
        </is>
      </c>
      <c r="D29" s="13" t="n">
        <v>40</v>
      </c>
      <c r="E29" s="14" t="n">
        <v>0.1</v>
      </c>
      <c r="F29" s="15" t="n">
        <v>24</v>
      </c>
      <c r="G29" s="19">
        <f>E29*F29/24</f>
        <v/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5" t="n">
        <v>1</v>
      </c>
      <c r="U29" s="8" t="inlineStr"/>
    </row>
    <row r="30">
      <c r="A30" s="8" t="inlineStr">
        <is>
          <t>suit_service_panel</t>
        </is>
      </c>
      <c r="B30" s="8" t="inlineStr">
        <is>
          <t>Suit Service Panel</t>
        </is>
      </c>
      <c r="C30" s="8" t="inlineStr">
        <is>
          <t>airlock</t>
        </is>
      </c>
      <c r="D30" s="13" t="n">
        <v>60</v>
      </c>
      <c r="E30" s="14" t="n">
        <v>0.3</v>
      </c>
      <c r="F30" s="15" t="n">
        <v>4</v>
      </c>
      <c r="G30" s="19">
        <f>E30*F30/24</f>
        <v/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5" t="n">
        <v>1</v>
      </c>
      <c r="U30" s="8" t="inlineStr"/>
    </row>
    <row r="31">
      <c r="A31" s="8" t="inlineStr">
        <is>
          <t>dust_grate</t>
        </is>
      </c>
      <c r="B31" s="8" t="inlineStr">
        <is>
          <t>Dust Grate</t>
        </is>
      </c>
      <c r="C31" s="8" t="inlineStr">
        <is>
          <t>airlock</t>
        </is>
      </c>
      <c r="D31" s="13" t="n">
        <v>30</v>
      </c>
      <c r="E31" s="14" t="n">
        <v>0</v>
      </c>
      <c r="F31" s="15" t="n">
        <v>0</v>
      </c>
      <c r="G31" s="19">
        <f>E31*F31/24</f>
        <v/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5" t="n">
        <v>1</v>
      </c>
      <c r="U31" s="8" t="inlineStr">
        <is>
          <t>Keeps dust out of the habitat.</t>
        </is>
      </c>
    </row>
    <row r="32">
      <c r="A32" s="8" t="inlineStr">
        <is>
          <t>power_distribution_panel</t>
        </is>
      </c>
      <c r="B32" s="8" t="inlineStr">
        <is>
          <t>Power Distribution Cabinet</t>
        </is>
      </c>
      <c r="C32" s="8" t="inlineStr">
        <is>
          <t>engineering</t>
        </is>
      </c>
      <c r="D32" s="13" t="n">
        <v>100</v>
      </c>
      <c r="E32" s="14" t="n">
        <v>0.05</v>
      </c>
      <c r="F32" s="15" t="n">
        <v>24</v>
      </c>
      <c r="G32" s="19">
        <f>E32*F32/24</f>
        <v/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5" t="n">
        <v>1</v>
      </c>
      <c r="U32" s="8" t="inlineStr"/>
    </row>
    <row r="33">
      <c r="A33" s="8" t="inlineStr">
        <is>
          <t>battery_bank</t>
        </is>
      </c>
      <c r="B33" s="8" t="inlineStr">
        <is>
          <t>Battery Bank</t>
        </is>
      </c>
      <c r="C33" s="8" t="inlineStr">
        <is>
          <t>engineering</t>
        </is>
      </c>
      <c r="D33" s="9" t="n">
        <v>400</v>
      </c>
      <c r="E33" s="14" t="n">
        <v>0</v>
      </c>
      <c r="F33" s="15" t="n">
        <v>0</v>
      </c>
      <c r="G33" s="19">
        <f>E33*F33/24</f>
        <v/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20">
        <f>Settings!$B$22</f>
        <v/>
      </c>
      <c r="Q33" s="13" t="n">
        <v>0</v>
      </c>
      <c r="R33" s="13" t="n">
        <v>0</v>
      </c>
      <c r="S33" s="13" t="n">
        <v>0</v>
      </c>
      <c r="T33" s="15" t="n">
        <v>0</v>
      </c>
      <c r="U33" s="8" t="inlineStr">
        <is>
          <t>Storage size is in Settings. Reference qty is set per site in Balance Check.</t>
        </is>
      </c>
    </row>
    <row r="34">
      <c r="A34" s="8" t="inlineStr">
        <is>
          <t>galley_counter</t>
        </is>
      </c>
      <c r="B34" s="8" t="inlineStr">
        <is>
          <t>Galley Counter</t>
        </is>
      </c>
      <c r="C34" s="8" t="inlineStr">
        <is>
          <t>galley</t>
        </is>
      </c>
      <c r="D34" s="13" t="n">
        <v>150</v>
      </c>
      <c r="E34" s="14" t="n">
        <v>1.5</v>
      </c>
      <c r="F34" s="15" t="n">
        <v>3</v>
      </c>
      <c r="G34" s="19">
        <f>E34*F34/24</f>
        <v/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5" t="n">
        <v>1</v>
      </c>
      <c r="U34" s="8" t="inlineStr">
        <is>
          <t>Food warmer and sink, used at mealtimes.</t>
        </is>
      </c>
    </row>
    <row r="35">
      <c r="A35" s="8" t="inlineStr">
        <is>
          <t>pantry_cabinet</t>
        </is>
      </c>
      <c r="B35" s="8" t="inlineStr">
        <is>
          <t>Pantry Cabinet</t>
        </is>
      </c>
      <c r="C35" s="8" t="inlineStr">
        <is>
          <t>galley</t>
        </is>
      </c>
      <c r="D35" s="13" t="n">
        <v>90</v>
      </c>
      <c r="E35" s="14" t="n">
        <v>0</v>
      </c>
      <c r="F35" s="15" t="n">
        <v>0</v>
      </c>
      <c r="G35" s="19">
        <f>E35*F35/24</f>
        <v/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300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5" t="n">
        <v>2</v>
      </c>
      <c r="U35" s="8" t="inlineStr"/>
    </row>
    <row r="36">
      <c r="A36" s="8" t="inlineStr">
        <is>
          <t>potable_water_dispenser</t>
        </is>
      </c>
      <c r="B36" s="8" t="inlineStr">
        <is>
          <t>Water Dispenser</t>
        </is>
      </c>
      <c r="C36" s="8" t="inlineStr">
        <is>
          <t>galley</t>
        </is>
      </c>
      <c r="D36" s="13" t="n">
        <v>30</v>
      </c>
      <c r="E36" s="14" t="n">
        <v>0.05</v>
      </c>
      <c r="F36" s="15" t="n">
        <v>24</v>
      </c>
      <c r="G36" s="19">
        <f>E36*F36/24</f>
        <v/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20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5" t="n">
        <v>1</v>
      </c>
      <c r="U36" s="8" t="inlineStr"/>
    </row>
    <row r="37">
      <c r="A37" s="8" t="inlineStr">
        <is>
          <t>integrated_mess_booth</t>
        </is>
      </c>
      <c r="B37" s="8" t="inlineStr">
        <is>
          <t>Mess Booth</t>
        </is>
      </c>
      <c r="C37" s="8" t="inlineStr">
        <is>
          <t>living</t>
        </is>
      </c>
      <c r="D37" s="13" t="n">
        <v>120</v>
      </c>
      <c r="E37" s="14" t="n">
        <v>0</v>
      </c>
      <c r="F37" s="15" t="n">
        <v>0</v>
      </c>
      <c r="G37" s="19">
        <f>E37*F37/24</f>
        <v/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5" t="n">
        <v>1</v>
      </c>
      <c r="U37" s="8" t="inlineStr"/>
    </row>
    <row r="38">
      <c r="A38" s="8" t="inlineStr">
        <is>
          <t>hygiene_shower</t>
        </is>
      </c>
      <c r="B38" s="8" t="inlineStr">
        <is>
          <t>Low-Water Wash Station</t>
        </is>
      </c>
      <c r="C38" s="8" t="inlineStr">
        <is>
          <t>hygiene</t>
        </is>
      </c>
      <c r="D38" s="13" t="n">
        <v>120</v>
      </c>
      <c r="E38" s="14" t="n">
        <v>0.5</v>
      </c>
      <c r="F38" s="15" t="n">
        <v>2</v>
      </c>
      <c r="G38" s="19">
        <f>E38*F38/24</f>
        <v/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5" t="n">
        <v>1</v>
      </c>
      <c r="U38" s="8" t="inlineStr">
        <is>
          <t>Heats washing water. Without one, crew use less water but health suffers (later).</t>
        </is>
      </c>
    </row>
    <row r="39">
      <c r="A39" s="8" t="inlineStr">
        <is>
          <t>hygiene_toilet</t>
        </is>
      </c>
      <c r="B39" s="8" t="inlineStr">
        <is>
          <t>Vacuum Toilet</t>
        </is>
      </c>
      <c r="C39" s="8" t="inlineStr">
        <is>
          <t>hygiene</t>
        </is>
      </c>
      <c r="D39" s="13" t="n">
        <v>100</v>
      </c>
      <c r="E39" s="14" t="n">
        <v>0.1</v>
      </c>
      <c r="F39" s="15" t="n">
        <v>24</v>
      </c>
      <c r="G39" s="19">
        <f>E39*F39/24</f>
        <v/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5" t="n">
        <v>2</v>
      </c>
      <c r="U39" s="8" t="inlineStr">
        <is>
          <t>Air-flow toilet; urine goes to the reclaimer.</t>
        </is>
      </c>
    </row>
    <row r="40">
      <c r="A40" s="8" t="inlineStr">
        <is>
          <t>medical_cabinet</t>
        </is>
      </c>
      <c r="B40" s="8" t="inlineStr">
        <is>
          <t>Medical Supply Cabinet</t>
        </is>
      </c>
      <c r="C40" s="8" t="inlineStr">
        <is>
          <t>medical</t>
        </is>
      </c>
      <c r="D40" s="13" t="n">
        <v>80</v>
      </c>
      <c r="E40" s="14" t="n">
        <v>0</v>
      </c>
      <c r="F40" s="15" t="n">
        <v>0</v>
      </c>
      <c r="G40" s="19">
        <f>E40*F40/24</f>
        <v/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5" t="n">
        <v>1</v>
      </c>
      <c r="U40" s="8" t="inlineStr"/>
    </row>
    <row r="41">
      <c r="A41" s="8" t="inlineStr">
        <is>
          <t>medical_exam_cot</t>
        </is>
      </c>
      <c r="B41" s="8" t="inlineStr">
        <is>
          <t>Medical Exam Cot</t>
        </is>
      </c>
      <c r="C41" s="8" t="inlineStr">
        <is>
          <t>medical</t>
        </is>
      </c>
      <c r="D41" s="13" t="n">
        <v>120</v>
      </c>
      <c r="E41" s="14" t="n">
        <v>0.1</v>
      </c>
      <c r="F41" s="15" t="n">
        <v>2</v>
      </c>
      <c r="G41" s="19">
        <f>E41*F41/24</f>
        <v/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5" t="n">
        <v>1</v>
      </c>
      <c r="U41" s="8" t="inlineStr"/>
    </row>
    <row r="42">
      <c r="A42" s="8" t="inlineStr">
        <is>
          <t>waste_sorting_unit</t>
        </is>
      </c>
      <c r="B42" s="8" t="inlineStr">
        <is>
          <t>Waste Sorting Unit</t>
        </is>
      </c>
      <c r="C42" s="8" t="inlineStr">
        <is>
          <t>waste_management</t>
        </is>
      </c>
      <c r="D42" s="13" t="n">
        <v>200</v>
      </c>
      <c r="E42" s="14" t="n">
        <v>0.4</v>
      </c>
      <c r="F42" s="15" t="n">
        <v>6</v>
      </c>
      <c r="G42" s="19">
        <f>E42*F42/24</f>
        <v/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5" t="n">
        <v>1</v>
      </c>
      <c r="U42" s="8" t="inlineStr"/>
    </row>
    <row r="43">
      <c r="A43" s="8" t="inlineStr">
        <is>
          <t>communications_station</t>
        </is>
      </c>
      <c r="B43" s="8" t="inlineStr">
        <is>
          <t>Communications Data Rack</t>
        </is>
      </c>
      <c r="C43" s="8" t="inlineStr">
        <is>
          <t>communications</t>
        </is>
      </c>
      <c r="D43" s="13" t="n">
        <v>200</v>
      </c>
      <c r="E43" s="14" t="n">
        <v>0.3</v>
      </c>
      <c r="F43" s="15" t="n">
        <v>24</v>
      </c>
      <c r="G43" s="19">
        <f>E43*F43/24</f>
        <v/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5" t="n">
        <v>1</v>
      </c>
      <c r="U43" s="8" t="inlineStr"/>
    </row>
    <row r="44">
      <c r="A44" s="8" t="inlineStr">
        <is>
          <t>mission_planning_console</t>
        </is>
      </c>
      <c r="B44" s="8" t="inlineStr">
        <is>
          <t>Mission Planning Console</t>
        </is>
      </c>
      <c r="C44" s="8" t="inlineStr">
        <is>
          <t>communications</t>
        </is>
      </c>
      <c r="D44" s="13" t="n">
        <v>100</v>
      </c>
      <c r="E44" s="14" t="n">
        <v>0.2</v>
      </c>
      <c r="F44" s="15" t="n">
        <v>12</v>
      </c>
      <c r="G44" s="19">
        <f>E44*F44/24</f>
        <v/>
      </c>
      <c r="H44" s="13" t="n">
        <v>0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5" t="n">
        <v>1</v>
      </c>
      <c r="U44" s="8" t="inlineStr"/>
    </row>
    <row r="45">
      <c r="A45" s="8" t="inlineStr">
        <is>
          <t>mars_survey_board</t>
        </is>
      </c>
      <c r="B45" s="8" t="inlineStr">
        <is>
          <t>Mars Survey Board</t>
        </is>
      </c>
      <c r="C45" s="8" t="inlineStr">
        <is>
          <t>communications</t>
        </is>
      </c>
      <c r="D45" s="13" t="n">
        <v>60</v>
      </c>
      <c r="E45" s="14" t="n">
        <v>0.1</v>
      </c>
      <c r="F45" s="15" t="n">
        <v>12</v>
      </c>
      <c r="G45" s="19">
        <f>E45*F45/24</f>
        <v/>
      </c>
      <c r="H45" s="13" t="n">
        <v>0</v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5" t="n">
        <v>1</v>
      </c>
      <c r="U45" s="8" t="inlineStr"/>
    </row>
    <row r="46">
      <c r="A46" s="8" t="inlineStr">
        <is>
          <t>fire_safety_station</t>
        </is>
      </c>
      <c r="B46" s="8" t="inlineStr">
        <is>
          <t>Fire Safety Station</t>
        </is>
      </c>
      <c r="C46" s="8" t="inlineStr">
        <is>
          <t>general</t>
        </is>
      </c>
      <c r="D46" s="13" t="n">
        <v>40</v>
      </c>
      <c r="E46" s="14" t="n">
        <v>0</v>
      </c>
      <c r="F46" s="15" t="n">
        <v>0</v>
      </c>
      <c r="G46" s="19">
        <f>E46*F46/24</f>
        <v/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5" t="n">
        <v>3</v>
      </c>
      <c r="U46" s="8" t="inlineStr"/>
    </row>
    <row r="47">
      <c r="A47" s="8" t="inlineStr">
        <is>
          <t>emergency_supply_lockbox</t>
        </is>
      </c>
      <c r="B47" s="8" t="inlineStr">
        <is>
          <t>Emergency Supply Locker</t>
        </is>
      </c>
      <c r="C47" s="8" t="inlineStr">
        <is>
          <t>general</t>
        </is>
      </c>
      <c r="D47" s="13" t="n">
        <v>60</v>
      </c>
      <c r="E47" s="14" t="n">
        <v>0</v>
      </c>
      <c r="F47" s="15" t="n">
        <v>0</v>
      </c>
      <c r="G47" s="19">
        <f>E47*F47/24</f>
        <v/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5</v>
      </c>
      <c r="P47" s="13" t="n">
        <v>0</v>
      </c>
      <c r="Q47" s="13" t="n">
        <v>0</v>
      </c>
      <c r="R47" s="13" t="n">
        <v>0</v>
      </c>
      <c r="S47" s="13" t="n">
        <v>0</v>
      </c>
      <c r="T47" s="15" t="n">
        <v>1</v>
      </c>
      <c r="U47" s="8" t="inlineStr">
        <is>
          <t>Emergency oxygen bottles.</t>
        </is>
      </c>
    </row>
    <row r="48">
      <c r="A48" s="8" t="inlineStr">
        <is>
          <t>first_aid_kit</t>
        </is>
      </c>
      <c r="B48" s="8" t="inlineStr">
        <is>
          <t>First Aid Kit</t>
        </is>
      </c>
      <c r="C48" s="8" t="inlineStr">
        <is>
          <t>general</t>
        </is>
      </c>
      <c r="D48" s="13" t="n">
        <v>8</v>
      </c>
      <c r="E48" s="14" t="n">
        <v>0</v>
      </c>
      <c r="F48" s="15" t="n">
        <v>0</v>
      </c>
      <c r="G48" s="19">
        <f>E48*F48/24</f>
        <v/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5" t="n">
        <v>2</v>
      </c>
      <c r="U48" s="8" t="inlineStr"/>
    </row>
    <row r="49">
      <c r="A49" s="8" t="inlineStr">
        <is>
          <t>portable_interior_work_light</t>
        </is>
      </c>
      <c r="B49" s="8" t="inlineStr">
        <is>
          <t>Portable Work Light</t>
        </is>
      </c>
      <c r="C49" s="8" t="inlineStr">
        <is>
          <t>general</t>
        </is>
      </c>
      <c r="D49" s="13" t="n">
        <v>15</v>
      </c>
      <c r="E49" s="14" t="n">
        <v>0</v>
      </c>
      <c r="F49" s="15" t="n">
        <v>0</v>
      </c>
      <c r="G49" s="19">
        <f>E49*F49/24</f>
        <v/>
      </c>
      <c r="H49" s="13" t="n">
        <v>0</v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5" t="n">
        <v>0</v>
      </c>
      <c r="U49" s="8" t="inlineStr">
        <is>
          <t>Own battery: no grid power.</t>
        </is>
      </c>
    </row>
    <row r="50">
      <c r="A50" s="8" t="inlineStr">
        <is>
          <t>supply_crate_small</t>
        </is>
      </c>
      <c r="B50" s="8" t="inlineStr">
        <is>
          <t>Supply Crate (Small)</t>
        </is>
      </c>
      <c r="C50" s="8" t="inlineStr">
        <is>
          <t>general</t>
        </is>
      </c>
      <c r="D50" s="13" t="n">
        <v>15</v>
      </c>
      <c r="E50" s="14" t="n">
        <v>0</v>
      </c>
      <c r="F50" s="15" t="n">
        <v>0</v>
      </c>
      <c r="G50" s="19">
        <f>E50*F50/24</f>
        <v/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50</v>
      </c>
      <c r="N50" s="13" t="n">
        <v>0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5" t="n">
        <v>0</v>
      </c>
      <c r="U50" s="8" t="inlineStr"/>
    </row>
    <row r="51">
      <c r="A51" s="8" t="inlineStr">
        <is>
          <t>supply_crate_medium</t>
        </is>
      </c>
      <c r="B51" s="8" t="inlineStr">
        <is>
          <t>Supply Crate (Medium)</t>
        </is>
      </c>
      <c r="C51" s="8" t="inlineStr">
        <is>
          <t>general</t>
        </is>
      </c>
      <c r="D51" s="13" t="n">
        <v>25</v>
      </c>
      <c r="E51" s="14" t="n">
        <v>0</v>
      </c>
      <c r="F51" s="15" t="n">
        <v>0</v>
      </c>
      <c r="G51" s="19">
        <f>E51*F51/24</f>
        <v/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100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5" t="n">
        <v>0</v>
      </c>
      <c r="U51" s="8" t="inlineStr"/>
    </row>
    <row r="52">
      <c r="A52" s="8" t="inlineStr">
        <is>
          <t>supply_crate_large</t>
        </is>
      </c>
      <c r="B52" s="8" t="inlineStr">
        <is>
          <t>Supply Crate (Large)</t>
        </is>
      </c>
      <c r="C52" s="8" t="inlineStr">
        <is>
          <t>general</t>
        </is>
      </c>
      <c r="D52" s="13" t="n">
        <v>40</v>
      </c>
      <c r="E52" s="14" t="n">
        <v>0</v>
      </c>
      <c r="F52" s="15" t="n">
        <v>0</v>
      </c>
      <c r="G52" s="19">
        <f>E52*F52/24</f>
        <v/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200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5" t="n">
        <v>0</v>
      </c>
      <c r="U52" s="8" t="inlineStr"/>
    </row>
    <row r="53">
      <c r="A53" s="8" t="inlineStr">
        <is>
          <t>wall_cabin_heater</t>
        </is>
      </c>
      <c r="B53" s="8" t="inlineStr">
        <is>
          <t>Wall Cabin Heater</t>
        </is>
      </c>
      <c r="C53" s="8" t="inlineStr">
        <is>
          <t>general</t>
        </is>
      </c>
      <c r="D53" s="13" t="n">
        <v>20</v>
      </c>
      <c r="E53" s="14" t="n">
        <v>0.36</v>
      </c>
      <c r="F53" s="15" t="n">
        <v>0</v>
      </c>
      <c r="G53" s="19">
        <f>E53*F53/24</f>
        <v/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  <c r="N53" s="13" t="n">
        <v>0</v>
      </c>
      <c r="O53" s="13" t="n">
        <v>0</v>
      </c>
      <c r="P53" s="13" t="n">
        <v>0</v>
      </c>
      <c r="Q53" s="14" t="n">
        <v>0.36</v>
      </c>
      <c r="R53" s="13" t="n">
        <v>0</v>
      </c>
      <c r="S53" s="13" t="n">
        <v>0</v>
      </c>
      <c r="T53" s="15" t="n">
        <v>0</v>
      </c>
      <c r="U53" s="8" t="inlineStr">
        <is>
          <t>Low 0.18 / High 0.36 kW; all of it becomes heat in its room.</t>
        </is>
      </c>
    </row>
    <row r="54">
      <c r="A54" s="8" t="inlineStr">
        <is>
          <t>portable_utility_heater</t>
        </is>
      </c>
      <c r="B54" s="8" t="inlineStr">
        <is>
          <t>Portable Utility Heater</t>
        </is>
      </c>
      <c r="C54" s="8" t="inlineStr">
        <is>
          <t>general</t>
        </is>
      </c>
      <c r="D54" s="13" t="n">
        <v>30</v>
      </c>
      <c r="E54" s="14" t="n">
        <v>0.6</v>
      </c>
      <c r="F54" s="15" t="n">
        <v>0</v>
      </c>
      <c r="G54" s="19">
        <f>E54*F54/24</f>
        <v/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4" t="n">
        <v>0.6</v>
      </c>
      <c r="R54" s="13" t="n">
        <v>0</v>
      </c>
      <c r="S54" s="13" t="n">
        <v>0</v>
      </c>
      <c r="T54" s="15" t="n">
        <v>0</v>
      </c>
      <c r="U54" s="8" t="inlineStr">
        <is>
          <t>Low 0.3 / High 0.6 kW.</t>
        </is>
      </c>
    </row>
    <row r="55">
      <c r="A55" s="8" t="inlineStr">
        <is>
          <t>solar_array</t>
        </is>
      </c>
      <c r="B55" s="8" t="inlineStr">
        <is>
          <t>Solar Array</t>
        </is>
      </c>
      <c r="C55" s="8" t="inlineStr">
        <is>
          <t>outside</t>
        </is>
      </c>
      <c r="D55" s="9" t="n">
        <v>300</v>
      </c>
      <c r="E55" s="14" t="n">
        <v>0</v>
      </c>
      <c r="F55" s="15" t="n">
        <v>0</v>
      </c>
      <c r="G55" s="19">
        <f>E55*F55/24</f>
        <v/>
      </c>
      <c r="H55" s="21">
        <f>Settings!$B$20</f>
        <v/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5" t="n">
        <v>0</v>
      </c>
      <c r="U55" s="8" t="inlineStr">
        <is>
          <t>Peak output is in Settings; the site's sun decides the energy per sol. Reference qty is set per site.</t>
        </is>
      </c>
    </row>
    <row r="56">
      <c r="A56" s="8" t="inlineStr">
        <is>
          <t>surface_reactor</t>
        </is>
      </c>
      <c r="B56" s="8" t="inlineStr">
        <is>
          <t>Compact Reactor</t>
        </is>
      </c>
      <c r="C56" s="8" t="inlineStr">
        <is>
          <t>outside</t>
        </is>
      </c>
      <c r="D56" s="9" t="n">
        <v>2500</v>
      </c>
      <c r="E56" s="14" t="n">
        <v>0</v>
      </c>
      <c r="F56" s="15" t="n">
        <v>0</v>
      </c>
      <c r="G56" s="19">
        <f>E56*F56/24</f>
        <v/>
      </c>
      <c r="H56" s="21">
        <f>Settings!$B$21</f>
        <v/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5" t="n">
        <v>0</v>
      </c>
      <c r="U56" s="8" t="inlineStr">
        <is>
          <t>Includes radiation shielding. Must stand well away from the rooms. Reference qty is set per site.</t>
        </is>
      </c>
    </row>
    <row r="57">
      <c r="A57" s="8" t="inlineStr">
        <is>
          <t>ice_drill</t>
        </is>
      </c>
      <c r="B57" s="8" t="inlineStr">
        <is>
          <t>Ice Extractor</t>
        </is>
      </c>
      <c r="C57" s="8" t="inlineStr">
        <is>
          <t>outside</t>
        </is>
      </c>
      <c r="D57" s="9" t="n">
        <v>600</v>
      </c>
      <c r="E57" s="14" t="n">
        <v>3</v>
      </c>
      <c r="F57" s="15" t="n">
        <v>24</v>
      </c>
      <c r="G57" s="19">
        <f>E57*F57/24</f>
        <v/>
      </c>
      <c r="H57" s="13" t="n">
        <v>0</v>
      </c>
      <c r="I57" s="13" t="n">
        <v>0</v>
      </c>
      <c r="J57" s="13" t="n">
        <v>0</v>
      </c>
      <c r="K57" s="20">
        <f>Settings!$B$18</f>
        <v/>
      </c>
      <c r="L57" s="13" t="n">
        <v>0</v>
      </c>
      <c r="M57" s="13" t="n">
        <v>0</v>
      </c>
      <c r="N57" s="13" t="n">
        <v>0</v>
      </c>
      <c r="O57" s="13" t="n">
        <v>0</v>
      </c>
      <c r="P57" s="13" t="n">
        <v>0</v>
      </c>
      <c r="Q57" s="13" t="n">
        <v>0</v>
      </c>
      <c r="R57" s="13" t="n">
        <v>0</v>
      </c>
      <c r="S57" s="13" t="n">
        <v>0</v>
      </c>
      <c r="T57" s="15" t="n">
        <v>0</v>
      </c>
      <c r="U57" s="8" t="inlineStr">
        <is>
          <t>Water output scales with ice richness (Settings). Its heat stays outside. Reference qty is set per site.</t>
        </is>
      </c>
    </row>
    <row r="58">
      <c r="A58" s="8" t="inlineStr">
        <is>
          <t>cargo_crate_small</t>
        </is>
      </c>
      <c r="B58" s="8" t="inlineStr">
        <is>
          <t>Small Cargo Crate</t>
        </is>
      </c>
      <c r="C58" s="8" t="inlineStr">
        <is>
          <t>outside</t>
        </is>
      </c>
      <c r="D58" s="13" t="n">
        <v>20</v>
      </c>
      <c r="E58" s="14" t="n">
        <v>0</v>
      </c>
      <c r="F58" s="15" t="n">
        <v>0</v>
      </c>
      <c r="G58" s="19">
        <f>E58*F58/24</f>
        <v/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50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5" t="n">
        <v>0</v>
      </c>
      <c r="U58" s="8" t="inlineStr">
        <is>
          <t>Outdoor crate: frozen food keeps well outside.</t>
        </is>
      </c>
    </row>
    <row r="59">
      <c r="A59" s="8" t="inlineStr">
        <is>
          <t>cargo_crate_large</t>
        </is>
      </c>
      <c r="B59" s="8" t="inlineStr">
        <is>
          <t>Large Cargo Crate</t>
        </is>
      </c>
      <c r="C59" s="8" t="inlineStr">
        <is>
          <t>outside</t>
        </is>
      </c>
      <c r="D59" s="13" t="n">
        <v>45</v>
      </c>
      <c r="E59" s="14" t="n">
        <v>0</v>
      </c>
      <c r="F59" s="15" t="n">
        <v>0</v>
      </c>
      <c r="G59" s="19">
        <f>E59*F59/24</f>
        <v/>
      </c>
      <c r="H59" s="13" t="n">
        <v>0</v>
      </c>
      <c r="I59" s="13" t="n">
        <v>0</v>
      </c>
      <c r="J59" s="13" t="n">
        <v>0</v>
      </c>
      <c r="K59" s="13" t="n">
        <v>0</v>
      </c>
      <c r="L59" s="13" t="n">
        <v>0</v>
      </c>
      <c r="M59" s="13" t="n">
        <v>150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5" t="n">
        <v>0</v>
      </c>
      <c r="U59" s="8" t="inlineStr"/>
    </row>
    <row r="60">
      <c r="A60" s="8" t="inlineStr">
        <is>
          <t>equipment_pallet</t>
        </is>
      </c>
      <c r="B60" s="8" t="inlineStr">
        <is>
          <t>Loaded Cargo Pallet</t>
        </is>
      </c>
      <c r="C60" s="8" t="inlineStr">
        <is>
          <t>outside</t>
        </is>
      </c>
      <c r="D60" s="13" t="n">
        <v>150</v>
      </c>
      <c r="E60" s="14" t="n">
        <v>0</v>
      </c>
      <c r="F60" s="15" t="n">
        <v>0</v>
      </c>
      <c r="G60" s="19">
        <f>E60*F60/24</f>
        <v/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400</v>
      </c>
      <c r="N60" s="13" t="n">
        <v>0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5" t="n">
        <v>0</v>
      </c>
      <c r="U60" s="8" t="inlineStr"/>
    </row>
    <row r="61">
      <c r="A61" s="8" t="inlineStr">
        <is>
          <t>comms_antenna</t>
        </is>
      </c>
      <c r="B61" s="8" t="inlineStr">
        <is>
          <t>Communications Mast</t>
        </is>
      </c>
      <c r="C61" s="8" t="inlineStr">
        <is>
          <t>outside</t>
        </is>
      </c>
      <c r="D61" s="13" t="n">
        <v>120</v>
      </c>
      <c r="E61" s="14" t="n">
        <v>0.2</v>
      </c>
      <c r="F61" s="15" t="n">
        <v>24</v>
      </c>
      <c r="G61" s="19">
        <f>E61*F61/24</f>
        <v/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5" t="n">
        <v>0</v>
      </c>
      <c r="U61" s="8" t="inlineStr"/>
    </row>
    <row r="62">
      <c r="A62" s="8" t="inlineStr">
        <is>
          <t>exterior_workbench</t>
        </is>
      </c>
      <c r="B62" s="8" t="inlineStr">
        <is>
          <t>Outdoor Workbench</t>
        </is>
      </c>
      <c r="C62" s="8" t="inlineStr">
        <is>
          <t>outside</t>
        </is>
      </c>
      <c r="D62" s="13" t="n">
        <v>150</v>
      </c>
      <c r="E62" s="14" t="n">
        <v>0.3</v>
      </c>
      <c r="F62" s="15" t="n">
        <v>2</v>
      </c>
      <c r="G62" s="19">
        <f>E62*F62/24</f>
        <v/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5" t="n">
        <v>0</v>
      </c>
      <c r="U62" s="8" t="inlineStr"/>
    </row>
    <row r="63">
      <c r="A63" s="8" t="inlineStr">
        <is>
          <t>high_light_post</t>
        </is>
      </c>
      <c r="B63" s="8" t="inlineStr">
        <is>
          <t>Tall Light Post</t>
        </is>
      </c>
      <c r="C63" s="8" t="inlineStr">
        <is>
          <t>outside</t>
        </is>
      </c>
      <c r="D63" s="13" t="n">
        <v>60</v>
      </c>
      <c r="E63" s="14" t="n">
        <v>0.15</v>
      </c>
      <c r="F63" s="15" t="n">
        <v>12</v>
      </c>
      <c r="G63" s="19">
        <f>E63*F63/24</f>
        <v/>
      </c>
      <c r="H63" s="13" t="n">
        <v>0</v>
      </c>
      <c r="I63" s="13" t="n">
        <v>0</v>
      </c>
      <c r="J63" s="13" t="n">
        <v>0</v>
      </c>
      <c r="K63" s="13" t="n">
        <v>0</v>
      </c>
      <c r="L63" s="13" t="n">
        <v>0</v>
      </c>
      <c r="M63" s="13" t="n">
        <v>0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5" t="n">
        <v>0</v>
      </c>
      <c r="U63" s="8" t="inlineStr">
        <is>
          <t>Grid powered.</t>
        </is>
      </c>
    </row>
    <row r="64">
      <c r="A64" s="8" t="inlineStr">
        <is>
          <t>path_beacon</t>
        </is>
      </c>
      <c r="B64" s="8" t="inlineStr">
        <is>
          <t>Path Beacon</t>
        </is>
      </c>
      <c r="C64" s="8" t="inlineStr">
        <is>
          <t>outside</t>
        </is>
      </c>
      <c r="D64" s="13" t="n">
        <v>8</v>
      </c>
      <c r="E64" s="14" t="n">
        <v>0</v>
      </c>
      <c r="F64" s="15" t="n">
        <v>0</v>
      </c>
      <c r="G64" s="19">
        <f>E64*F64/24</f>
        <v/>
      </c>
      <c r="H64" s="13" t="n">
        <v>0</v>
      </c>
      <c r="I64" s="13" t="n">
        <v>0</v>
      </c>
      <c r="J64" s="13" t="n">
        <v>0</v>
      </c>
      <c r="K64" s="13" t="n">
        <v>0</v>
      </c>
      <c r="L64" s="13" t="n">
        <v>0</v>
      </c>
      <c r="M64" s="13" t="n">
        <v>0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5" t="n">
        <v>0</v>
      </c>
      <c r="U64" s="8" t="inlineStr">
        <is>
          <t>Own solar cell.</t>
        </is>
      </c>
    </row>
    <row r="65">
      <c r="A65" s="8" t="inlineStr">
        <is>
          <t>portable_work_light</t>
        </is>
      </c>
      <c r="B65" s="8" t="inlineStr">
        <is>
          <t>Portable Floodlight</t>
        </is>
      </c>
      <c r="C65" s="8" t="inlineStr">
        <is>
          <t>outside</t>
        </is>
      </c>
      <c r="D65" s="13" t="n">
        <v>40</v>
      </c>
      <c r="E65" s="14" t="n">
        <v>0</v>
      </c>
      <c r="F65" s="15" t="n">
        <v>0</v>
      </c>
      <c r="G65" s="19">
        <f>E65*F65/24</f>
        <v/>
      </c>
      <c r="H65" s="13" t="n">
        <v>0</v>
      </c>
      <c r="I65" s="13" t="n">
        <v>0</v>
      </c>
      <c r="J65" s="13" t="n">
        <v>0</v>
      </c>
      <c r="K65" s="13" t="n">
        <v>0</v>
      </c>
      <c r="L65" s="13" t="n">
        <v>0</v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5" t="n">
        <v>0</v>
      </c>
      <c r="U65" s="8" t="inlineStr">
        <is>
          <t>Own battery.</t>
        </is>
      </c>
    </row>
    <row r="66">
      <c r="A66" s="8" t="inlineStr">
        <is>
          <t>safety_barrier</t>
        </is>
      </c>
      <c r="B66" s="8" t="inlineStr">
        <is>
          <t>Safety Barrier</t>
        </is>
      </c>
      <c r="C66" s="8" t="inlineStr">
        <is>
          <t>outside</t>
        </is>
      </c>
      <c r="D66" s="13" t="n">
        <v>25</v>
      </c>
      <c r="E66" s="14" t="n">
        <v>0</v>
      </c>
      <c r="F66" s="15" t="n">
        <v>0</v>
      </c>
      <c r="G66" s="19">
        <f>E66*F66/24</f>
        <v/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5" t="n">
        <v>0</v>
      </c>
      <c r="U66" s="8" t="inlineStr"/>
    </row>
    <row r="67">
      <c r="A67" s="8" t="inlineStr">
        <is>
          <t>solar_floodlight</t>
        </is>
      </c>
      <c r="B67" s="8" t="inlineStr">
        <is>
          <t>Solar Floodlight</t>
        </is>
      </c>
      <c r="C67" s="8" t="inlineStr">
        <is>
          <t>outside</t>
        </is>
      </c>
      <c r="D67" s="13" t="n">
        <v>45</v>
      </c>
      <c r="E67" s="14" t="n">
        <v>0</v>
      </c>
      <c r="F67" s="15" t="n">
        <v>0</v>
      </c>
      <c r="G67" s="19">
        <f>E67*F67/24</f>
        <v/>
      </c>
      <c r="H67" s="13" t="n">
        <v>0</v>
      </c>
      <c r="I67" s="13" t="n">
        <v>0</v>
      </c>
      <c r="J67" s="13" t="n">
        <v>0</v>
      </c>
      <c r="K67" s="13" t="n">
        <v>0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5" t="n">
        <v>0</v>
      </c>
      <c r="U67" s="8" t="inlineStr">
        <is>
          <t>Own solar panel.</t>
        </is>
      </c>
    </row>
    <row r="68">
      <c r="A68" s="8" t="inlineStr">
        <is>
          <t>hazard_bollard</t>
        </is>
      </c>
      <c r="B68" s="8" t="inlineStr">
        <is>
          <t>Hazard Bollard</t>
        </is>
      </c>
      <c r="C68" s="8" t="inlineStr">
        <is>
          <t>outside</t>
        </is>
      </c>
      <c r="D68" s="13" t="n">
        <v>10</v>
      </c>
      <c r="E68" s="14" t="n">
        <v>0</v>
      </c>
      <c r="F68" s="15" t="n">
        <v>0</v>
      </c>
      <c r="G68" s="19">
        <f>E68*F68/24</f>
        <v/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5" t="n">
        <v>0</v>
      </c>
      <c r="U68" s="8" t="inlineStr"/>
    </row>
    <row r="69">
      <c r="A69" s="8" t="inlineStr">
        <is>
          <t>first_aid_kit_wall</t>
        </is>
      </c>
      <c r="B69" s="8" t="inlineStr">
        <is>
          <t>Wall First Aid Kit</t>
        </is>
      </c>
      <c r="C69" s="8" t="inlineStr">
        <is>
          <t>general</t>
        </is>
      </c>
      <c r="D69" s="13" t="n">
        <v>8</v>
      </c>
      <c r="E69" s="14" t="n">
        <v>0</v>
      </c>
      <c r="F69" s="15" t="n">
        <v>0</v>
      </c>
      <c r="G69" s="19">
        <f>E69*F69/24</f>
        <v/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5" t="n">
        <v>2</v>
      </c>
      <c r="U69" s="8" t="n"/>
    </row>
    <row r="70">
      <c r="A70" s="8" t="inlineStr">
        <is>
          <t>galley_table_set</t>
        </is>
      </c>
      <c r="B70" s="8" t="inlineStr">
        <is>
          <t>Galley Table Set</t>
        </is>
      </c>
      <c r="C70" s="8" t="inlineStr">
        <is>
          <t>galley</t>
        </is>
      </c>
      <c r="D70" s="13" t="n">
        <v>70</v>
      </c>
      <c r="E70" s="14" t="n">
        <v>0</v>
      </c>
      <c r="F70" s="15" t="n">
        <v>0</v>
      </c>
      <c r="G70" s="19">
        <f>E70*F70/24</f>
        <v/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5" t="n">
        <v>0</v>
      </c>
      <c r="U70" s="8" t="n"/>
    </row>
    <row r="71">
      <c r="A71" s="8" t="inlineStr">
        <is>
          <t>galley_oven</t>
        </is>
      </c>
      <c r="B71" s="8" t="inlineStr">
        <is>
          <t>Galley Oven</t>
        </is>
      </c>
      <c r="C71" s="8" t="inlineStr">
        <is>
          <t>galley</t>
        </is>
      </c>
      <c r="D71" s="13" t="n">
        <v>60</v>
      </c>
      <c r="E71" s="14" t="n">
        <v>2</v>
      </c>
      <c r="F71" s="15" t="n">
        <v>2</v>
      </c>
      <c r="G71" s="19">
        <f>E71*F71/24</f>
        <v/>
      </c>
      <c r="H71" s="13" t="n">
        <v>0</v>
      </c>
      <c r="I71" s="13" t="n">
        <v>0</v>
      </c>
      <c r="J71" s="13" t="n">
        <v>0</v>
      </c>
      <c r="K71" s="13" t="n">
        <v>0</v>
      </c>
      <c r="L71" s="13" t="n">
        <v>0</v>
      </c>
      <c r="M71" s="13" t="n">
        <v>0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5" t="n">
        <v>0</v>
      </c>
      <c r="U71" s="8" t="n"/>
    </row>
    <row r="72">
      <c r="A72" s="8" t="inlineStr">
        <is>
          <t>galley_rehydration_station</t>
        </is>
      </c>
      <c r="B72" s="8" t="inlineStr">
        <is>
          <t>Rehydration Station</t>
        </is>
      </c>
      <c r="C72" s="8" t="inlineStr">
        <is>
          <t>galley</t>
        </is>
      </c>
      <c r="D72" s="13" t="n">
        <v>45</v>
      </c>
      <c r="E72" s="14" t="n">
        <v>0.6</v>
      </c>
      <c r="F72" s="15" t="n">
        <v>2</v>
      </c>
      <c r="G72" s="19">
        <f>E72*F72/24</f>
        <v/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5" t="n">
        <v>0</v>
      </c>
      <c r="U72" s="8" t="n"/>
    </row>
    <row r="73">
      <c r="A73" s="8" t="inlineStr">
        <is>
          <t>galley_freezer</t>
        </is>
      </c>
      <c r="B73" s="8" t="inlineStr">
        <is>
          <t>Galley Freezer</t>
        </is>
      </c>
      <c r="C73" s="8" t="inlineStr">
        <is>
          <t>galley</t>
        </is>
      </c>
      <c r="D73" s="13" t="n">
        <v>110</v>
      </c>
      <c r="E73" s="14" t="n">
        <v>0.15</v>
      </c>
      <c r="F73" s="15" t="n">
        <v>24</v>
      </c>
      <c r="G73" s="19">
        <f>E73*F73/24</f>
        <v/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5" t="n">
        <v>0</v>
      </c>
      <c r="U73" s="8" t="n"/>
    </row>
    <row r="74">
      <c r="A74" s="8" t="inlineStr">
        <is>
          <t>recycling_hopper_plastics</t>
        </is>
      </c>
      <c r="B74" s="8" t="inlineStr">
        <is>
          <t>Plastics Hopper</t>
        </is>
      </c>
      <c r="C74" s="8" t="inlineStr">
        <is>
          <t>waste_management</t>
        </is>
      </c>
      <c r="D74" s="13" t="n">
        <v>55</v>
      </c>
      <c r="E74" s="14" t="n">
        <v>0</v>
      </c>
      <c r="F74" s="15" t="n">
        <v>0</v>
      </c>
      <c r="G74" s="19">
        <f>E74*F74/24</f>
        <v/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5" t="n">
        <v>0</v>
      </c>
      <c r="U74" s="8" t="n"/>
    </row>
    <row r="75">
      <c r="A75" s="8" t="inlineStr">
        <is>
          <t>recycling_hopper_metals</t>
        </is>
      </c>
      <c r="B75" s="8" t="inlineStr">
        <is>
          <t>Metals Hopper</t>
        </is>
      </c>
      <c r="C75" s="8" t="inlineStr">
        <is>
          <t>waste_management</t>
        </is>
      </c>
      <c r="D75" s="13" t="n">
        <v>55</v>
      </c>
      <c r="E75" s="14" t="n">
        <v>0</v>
      </c>
      <c r="F75" s="15" t="n">
        <v>0</v>
      </c>
      <c r="G75" s="19">
        <f>E75*F75/24</f>
        <v/>
      </c>
      <c r="H75" s="13" t="n">
        <v>0</v>
      </c>
      <c r="I75" s="13" t="n">
        <v>0</v>
      </c>
      <c r="J75" s="13" t="n">
        <v>0</v>
      </c>
      <c r="K75" s="13" t="n">
        <v>0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5" t="n">
        <v>0</v>
      </c>
      <c r="U75" s="8" t="n"/>
    </row>
    <row r="76">
      <c r="A76" s="8" t="inlineStr">
        <is>
          <t>compost_hopper</t>
        </is>
      </c>
      <c r="B76" s="8" t="inlineStr">
        <is>
          <t>Compost Hopper</t>
        </is>
      </c>
      <c r="C76" s="8" t="inlineStr">
        <is>
          <t>waste_management</t>
        </is>
      </c>
      <c r="D76" s="13" t="n">
        <v>55</v>
      </c>
      <c r="E76" s="14" t="n">
        <v>0</v>
      </c>
      <c r="F76" s="15" t="n">
        <v>0</v>
      </c>
      <c r="G76" s="19">
        <f>E76*F76/24</f>
        <v/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</v>
      </c>
      <c r="O76" s="13" t="n">
        <v>0</v>
      </c>
      <c r="P76" s="13" t="n">
        <v>0</v>
      </c>
      <c r="Q76" s="13" t="n">
        <v>0</v>
      </c>
      <c r="R76" s="13" t="n">
        <v>0</v>
      </c>
      <c r="S76" s="13" t="n">
        <v>0</v>
      </c>
      <c r="T76" s="15" t="n">
        <v>0</v>
      </c>
      <c r="U76" s="8" t="n"/>
    </row>
    <row r="77">
      <c r="A77" s="8" t="inlineStr">
        <is>
          <t>iv_drip_stand</t>
        </is>
      </c>
      <c r="B77" s="8" t="inlineStr">
        <is>
          <t>IV Drip Stand</t>
        </is>
      </c>
      <c r="C77" s="8" t="inlineStr">
        <is>
          <t>medical</t>
        </is>
      </c>
      <c r="D77" s="13" t="n">
        <v>12</v>
      </c>
      <c r="E77" s="14" t="n">
        <v>0</v>
      </c>
      <c r="F77" s="15" t="n">
        <v>0</v>
      </c>
      <c r="G77" s="19">
        <f>E77*F77/24</f>
        <v/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5" t="n">
        <v>0</v>
      </c>
      <c r="U77" s="8" t="n"/>
    </row>
    <row r="78">
      <c r="A78" s="8" t="inlineStr">
        <is>
          <t>crew_vitals_monitor</t>
        </is>
      </c>
      <c r="B78" s="8" t="inlineStr">
        <is>
          <t>Crew Vitals Monitor</t>
        </is>
      </c>
      <c r="C78" s="8" t="inlineStr">
        <is>
          <t>medical</t>
        </is>
      </c>
      <c r="D78" s="13" t="n">
        <v>15</v>
      </c>
      <c r="E78" s="14" t="n">
        <v>0.05</v>
      </c>
      <c r="F78" s="15" t="n">
        <v>24</v>
      </c>
      <c r="G78" s="19">
        <f>E78*F78/24</f>
        <v/>
      </c>
      <c r="H78" s="13" t="n">
        <v>0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0</v>
      </c>
      <c r="N78" s="13" t="n">
        <v>0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0</v>
      </c>
      <c r="T78" s="15" t="n">
        <v>0</v>
      </c>
      <c r="U78" s="8" t="n"/>
    </row>
    <row r="79">
      <c r="A79" s="8" t="inlineStr">
        <is>
          <t>surgery_cart</t>
        </is>
      </c>
      <c r="B79" s="8" t="inlineStr">
        <is>
          <t>Surgery Cart</t>
        </is>
      </c>
      <c r="C79" s="8" t="inlineStr">
        <is>
          <t>medical</t>
        </is>
      </c>
      <c r="D79" s="13" t="n">
        <v>40</v>
      </c>
      <c r="E79" s="14" t="n">
        <v>0</v>
      </c>
      <c r="F79" s="15" t="n">
        <v>0</v>
      </c>
      <c r="G79" s="19">
        <f>E79*F79/24</f>
        <v/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0</v>
      </c>
      <c r="T79" s="15" t="n">
        <v>0</v>
      </c>
      <c r="U79" s="8" t="n"/>
    </row>
    <row r="80">
      <c r="A80" s="8" t="inlineStr">
        <is>
          <t>medical_exam_light</t>
        </is>
      </c>
      <c r="B80" s="8" t="inlineStr">
        <is>
          <t>Exam Light</t>
        </is>
      </c>
      <c r="C80" s="8" t="inlineStr">
        <is>
          <t>medical</t>
        </is>
      </c>
      <c r="D80" s="13" t="n">
        <v>18</v>
      </c>
      <c r="E80" s="14" t="n">
        <v>0.1</v>
      </c>
      <c r="F80" s="15" t="n">
        <v>2</v>
      </c>
      <c r="G80" s="19">
        <f>E80*F80/24</f>
        <v/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</v>
      </c>
      <c r="T80" s="15" t="n">
        <v>0</v>
      </c>
      <c r="U80" s="8" t="n"/>
    </row>
    <row r="81">
      <c r="A81" s="8" t="inlineStr">
        <is>
          <t>work_desk</t>
        </is>
      </c>
      <c r="B81" s="8" t="inlineStr">
        <is>
          <t>Work Desk</t>
        </is>
      </c>
      <c r="C81" s="8" t="inlineStr">
        <is>
          <t>general</t>
        </is>
      </c>
      <c r="D81" s="13" t="n">
        <v>35</v>
      </c>
      <c r="E81" s="14" t="n">
        <v>0.06</v>
      </c>
      <c r="F81" s="15" t="n">
        <v>8</v>
      </c>
      <c r="G81" s="19">
        <f>E81*F81/24</f>
        <v/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5" t="n">
        <v>0</v>
      </c>
      <c r="U81" s="8" t="n"/>
    </row>
    <row r="82">
      <c r="A82" s="8" t="inlineStr">
        <is>
          <t>crew_chair</t>
        </is>
      </c>
      <c r="B82" s="8" t="inlineStr">
        <is>
          <t>Crew Chair</t>
        </is>
      </c>
      <c r="C82" s="8" t="inlineStr">
        <is>
          <t>general</t>
        </is>
      </c>
      <c r="D82" s="13" t="n">
        <v>12</v>
      </c>
      <c r="E82" s="14" t="n">
        <v>0</v>
      </c>
      <c r="F82" s="15" t="n">
        <v>0</v>
      </c>
      <c r="G82" s="19">
        <f>E82*F82/24</f>
        <v/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5" t="n">
        <v>0</v>
      </c>
      <c r="U82" s="8" t="n"/>
    </row>
    <row r="83">
      <c r="A83" s="8" t="inlineStr">
        <is>
          <t>open_shelving</t>
        </is>
      </c>
      <c r="B83" s="8" t="inlineStr">
        <is>
          <t>Open Shelving</t>
        </is>
      </c>
      <c r="C83" s="8" t="inlineStr">
        <is>
          <t>general</t>
        </is>
      </c>
      <c r="D83" s="13" t="n">
        <v>30</v>
      </c>
      <c r="E83" s="14" t="n">
        <v>0</v>
      </c>
      <c r="F83" s="15" t="n">
        <v>0</v>
      </c>
      <c r="G83" s="19">
        <f>E83*F83/24</f>
        <v/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5" t="n">
        <v>0</v>
      </c>
      <c r="U83" s="8" t="n"/>
    </row>
    <row r="84">
      <c r="A84" s="8" t="inlineStr">
        <is>
          <t>plant_pot</t>
        </is>
      </c>
      <c r="B84" s="8" t="inlineStr">
        <is>
          <t>Potted Plant</t>
        </is>
      </c>
      <c r="C84" s="8" t="inlineStr">
        <is>
          <t>general</t>
        </is>
      </c>
      <c r="D84" s="13" t="n">
        <v>15</v>
      </c>
      <c r="E84" s="14" t="n">
        <v>0</v>
      </c>
      <c r="F84" s="15" t="n">
        <v>0</v>
      </c>
      <c r="G84" s="19">
        <f>E84*F84/24</f>
        <v/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5" t="n">
        <v>0</v>
      </c>
      <c r="U84" s="8" t="n"/>
    </row>
    <row r="85">
      <c r="A85" s="8" t="inlineStr">
        <is>
          <t>wall_whiteboard</t>
        </is>
      </c>
      <c r="B85" s="8" t="inlineStr">
        <is>
          <t>Whiteboard</t>
        </is>
      </c>
      <c r="C85" s="8" t="inlineStr">
        <is>
          <t>general</t>
        </is>
      </c>
      <c r="D85" s="13" t="n">
        <v>8</v>
      </c>
      <c r="E85" s="14" t="n">
        <v>0</v>
      </c>
      <c r="F85" s="15" t="n">
        <v>0</v>
      </c>
      <c r="G85" s="19">
        <f>E85*F85/24</f>
        <v/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5" t="n">
        <v>0</v>
      </c>
      <c r="U85" s="8" t="n"/>
    </row>
    <row r="86">
      <c r="A86" s="8" t="inlineStr">
        <is>
          <t>regolith_printer</t>
        </is>
      </c>
      <c r="B86" s="8" t="inlineStr">
        <is>
          <t>Regolith Printer</t>
        </is>
      </c>
      <c r="C86" s="8" t="inlineStr">
        <is>
          <t>storage</t>
        </is>
      </c>
      <c r="D86" s="13" t="n">
        <v>1800</v>
      </c>
      <c r="E86" s="14" t="n">
        <v>4</v>
      </c>
      <c r="F86" s="15" t="n">
        <v>24</v>
      </c>
      <c r="G86" s="19">
        <f>E86*F86/24</f>
        <v/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5" t="n">
        <v>0</v>
      </c>
      <c r="U86" s="8" t="n"/>
    </row>
    <row r="87">
      <c r="A87" s="8" t="inlineStr">
        <is>
          <t>regolith_intake</t>
        </is>
      </c>
      <c r="B87" s="8" t="inlineStr">
        <is>
          <t>Regolith Intake</t>
        </is>
      </c>
      <c r="C87" s="8" t="inlineStr">
        <is>
          <t>outside</t>
        </is>
      </c>
      <c r="D87" s="13" t="n">
        <v>900</v>
      </c>
      <c r="E87" s="14" t="n">
        <v>1.5</v>
      </c>
      <c r="F87" s="15" t="n">
        <v>24</v>
      </c>
      <c r="G87" s="19">
        <f>E87*F87/24</f>
        <v/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5" t="n">
        <v>0</v>
      </c>
      <c r="U87" s="8" t="n"/>
    </row>
    <row r="89">
      <c r="A89" s="8" t="inlineStr">
        <is>
          <t>Example row: grow_tray is 150 kg, uses 0.6 kW for 16 hours a sol (0.4 kW average), grows 0.4 kg of food and uses 0.5 L of water a sol.</t>
        </is>
      </c>
    </row>
    <row r="90">
      <c r="A90" s="8" t="inlineStr">
        <is>
          <t>Positive O2, water and food are made; negative are used. CO2 negative means removed from the air.</t>
        </is>
      </c>
    </row>
    <row r="91">
      <c r="A91" s="8" t="inlineStr">
        <is>
          <t>crew_mug</t>
        </is>
      </c>
      <c r="B91" t="inlineStr">
        <is>
          <t>Crew Mug</t>
        </is>
      </c>
      <c r="C91" t="inlineStr">
        <is>
          <t>odds_and_ends</t>
        </is>
      </c>
      <c r="D91" t="n">
        <v>1</v>
      </c>
      <c r="E91" t="n">
        <v>0</v>
      </c>
      <c r="F91" t="n">
        <v>0</v>
      </c>
      <c r="G91">
        <f>E91*F91/24</f>
        <v/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Odds &amp; ends: personal item, no systems.</t>
        </is>
      </c>
    </row>
    <row r="92">
      <c r="A92" s="8" t="inlineStr">
        <is>
          <t>crew_tablet</t>
        </is>
      </c>
      <c r="B92" t="inlineStr">
        <is>
          <t>Crew Tablet</t>
        </is>
      </c>
      <c r="C92" t="inlineStr">
        <is>
          <t>odds_and_ends</t>
        </is>
      </c>
      <c r="D92" t="n">
        <v>1</v>
      </c>
      <c r="E92" t="n">
        <v>0</v>
      </c>
      <c r="F92" t="n">
        <v>0</v>
      </c>
      <c r="G92">
        <f>E92*F92/24</f>
        <v/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Odds &amp; ends: personal item, no systems.</t>
        </is>
      </c>
    </row>
    <row r="93">
      <c r="A93" s="8" t="inlineStr">
        <is>
          <t>crew_laptop</t>
        </is>
      </c>
      <c r="B93" t="inlineStr">
        <is>
          <t>Laptop</t>
        </is>
      </c>
      <c r="C93" t="inlineStr">
        <is>
          <t>odds_and_ends</t>
        </is>
      </c>
      <c r="D93" t="n">
        <v>2</v>
      </c>
      <c r="E93" t="n">
        <v>0</v>
      </c>
      <c r="F93" t="n">
        <v>0</v>
      </c>
      <c r="G93">
        <f>E93*F93/24</f>
        <v/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Odds &amp; ends: personal item, no systems.</t>
        </is>
      </c>
    </row>
    <row r="94">
      <c r="A94" s="8" t="inlineStr">
        <is>
          <t>paper_books</t>
        </is>
      </c>
      <c r="B94" t="inlineStr">
        <is>
          <t>Paper Books</t>
        </is>
      </c>
      <c r="C94" t="inlineStr">
        <is>
          <t>odds_and_ends</t>
        </is>
      </c>
      <c r="D94" t="n">
        <v>2</v>
      </c>
      <c r="E94" t="n">
        <v>0</v>
      </c>
      <c r="F94" t="n">
        <v>0</v>
      </c>
      <c r="G94">
        <f>E94*F94/24</f>
        <v/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>
        <is>
          <t>Odds &amp; ends: personal item, no systems.</t>
        </is>
      </c>
    </row>
    <row r="95">
      <c r="A95" s="8" t="inlineStr">
        <is>
          <t>photo_frame</t>
        </is>
      </c>
      <c r="B95" t="inlineStr">
        <is>
          <t>Photo Frame</t>
        </is>
      </c>
      <c r="C95" t="inlineStr">
        <is>
          <t>odds_and_ends</t>
        </is>
      </c>
      <c r="D95" t="n">
        <v>1</v>
      </c>
      <c r="E95" t="n">
        <v>0</v>
      </c>
      <c r="F95" t="n">
        <v>0</v>
      </c>
      <c r="G95">
        <f>E95*F95/24</f>
        <v/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Odds &amp; ends: personal item, no systems.</t>
        </is>
      </c>
    </row>
    <row r="96">
      <c r="A96" s="8" t="inlineStr">
        <is>
          <t>chess_set</t>
        </is>
      </c>
      <c r="B96" t="inlineStr">
        <is>
          <t>Chess Set</t>
        </is>
      </c>
      <c r="C96" t="inlineStr">
        <is>
          <t>odds_and_ends</t>
        </is>
      </c>
      <c r="D96" t="n">
        <v>1</v>
      </c>
      <c r="E96" t="n">
        <v>0</v>
      </c>
      <c r="F96" t="n">
        <v>0</v>
      </c>
      <c r="G96">
        <f>E96*F96/24</f>
        <v/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Odds &amp; ends: personal item, no systems.</t>
        </is>
      </c>
    </row>
    <row r="97">
      <c r="A97" s="8" t="inlineStr">
        <is>
          <t>zero_g_plush</t>
        </is>
      </c>
      <c r="B97" t="inlineStr">
        <is>
          <t>Zero-G Plush</t>
        </is>
      </c>
      <c r="C97" t="inlineStr">
        <is>
          <t>odds_and_ends</t>
        </is>
      </c>
      <c r="D97" t="n">
        <v>1</v>
      </c>
      <c r="E97" t="n">
        <v>0</v>
      </c>
      <c r="F97" t="n">
        <v>0</v>
      </c>
      <c r="G97">
        <f>E97*F97/24</f>
        <v/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Odds &amp; ends: personal item, no systems.</t>
        </is>
      </c>
    </row>
    <row r="98">
      <c r="A98" s="8" t="inlineStr">
        <is>
          <t>herb_pot</t>
        </is>
      </c>
      <c r="B98" t="inlineStr">
        <is>
          <t>Herb Pot</t>
        </is>
      </c>
      <c r="C98" t="inlineStr">
        <is>
          <t>odds_and_ends</t>
        </is>
      </c>
      <c r="D98" t="n">
        <v>1</v>
      </c>
      <c r="E98" t="n">
        <v>0</v>
      </c>
      <c r="F98" t="n">
        <v>0</v>
      </c>
      <c r="G98">
        <f>E98*F98/24</f>
        <v/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Odds &amp; ends: personal item, no systems.</t>
        </is>
      </c>
    </row>
    <row r="99">
      <c r="A99" s="8" t="inlineStr">
        <is>
          <t>desk_lamp</t>
        </is>
      </c>
      <c r="B99" t="inlineStr">
        <is>
          <t>Desk Lamp</t>
        </is>
      </c>
      <c r="C99" t="inlineStr">
        <is>
          <t>odds_and_ends</t>
        </is>
      </c>
      <c r="D99" t="n">
        <v>1</v>
      </c>
      <c r="E99" t="n">
        <v>0</v>
      </c>
      <c r="F99" t="n">
        <v>0</v>
      </c>
      <c r="G99">
        <f>E99*F99/24</f>
        <v/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Odds &amp; ends: personal item, no systems.</t>
        </is>
      </c>
    </row>
    <row r="100">
      <c r="A100" s="8" t="inlineStr">
        <is>
          <t>water_bottle</t>
        </is>
      </c>
      <c r="B100" t="inlineStr">
        <is>
          <t>Water Bottle</t>
        </is>
      </c>
      <c r="C100" t="inlineStr">
        <is>
          <t>odds_and_ends</t>
        </is>
      </c>
      <c r="D100" t="n">
        <v>1</v>
      </c>
      <c r="E100" t="n">
        <v>0</v>
      </c>
      <c r="F100" t="n">
        <v>0</v>
      </c>
      <c r="G100">
        <f>E100*F100/24</f>
        <v/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Odds &amp; ends: personal item, no systems.</t>
        </is>
      </c>
    </row>
    <row r="101">
      <c r="A101" s="8" t="inlineStr">
        <is>
          <t>sample_jars</t>
        </is>
      </c>
      <c r="B101" t="inlineStr">
        <is>
          <t>Sample Jars</t>
        </is>
      </c>
      <c r="C101" t="inlineStr">
        <is>
          <t>odds_and_ends</t>
        </is>
      </c>
      <c r="D101" t="n">
        <v>1</v>
      </c>
      <c r="E101" t="n">
        <v>0</v>
      </c>
      <c r="F101" t="n">
        <v>0</v>
      </c>
      <c r="G101">
        <f>E101*F101/24</f>
        <v/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Odds &amp; ends: personal item, no systems.</t>
        </is>
      </c>
    </row>
    <row r="102">
      <c r="A102" s="8" t="inlineStr">
        <is>
          <t>toolbox</t>
        </is>
      </c>
      <c r="B102" t="inlineStr">
        <is>
          <t>Toolbox</t>
        </is>
      </c>
      <c r="C102" t="inlineStr">
        <is>
          <t>odds_and_ends</t>
        </is>
      </c>
      <c r="D102" t="n">
        <v>6</v>
      </c>
      <c r="E102" t="n">
        <v>0</v>
      </c>
      <c r="F102" t="n">
        <v>0</v>
      </c>
      <c r="G102">
        <f>E102*F102/24</f>
        <v/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Odds &amp; ends: personal item, no systems.</t>
        </is>
      </c>
    </row>
    <row r="103">
      <c r="A103" s="8" t="inlineStr">
        <is>
          <t>ration_packs</t>
        </is>
      </c>
      <c r="B103" t="inlineStr">
        <is>
          <t>Ration Packs</t>
        </is>
      </c>
      <c r="C103" t="inlineStr">
        <is>
          <t>odds_and_ends</t>
        </is>
      </c>
      <c r="D103" t="n">
        <v>2</v>
      </c>
      <c r="E103" t="n">
        <v>0</v>
      </c>
      <c r="F103" t="n">
        <v>0</v>
      </c>
      <c r="G103">
        <f>E103*F103/24</f>
        <v/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Odds &amp; ends: personal item, no systems.</t>
        </is>
      </c>
    </row>
    <row r="104">
      <c r="A104" s="8" t="inlineStr">
        <is>
          <t>guitar</t>
        </is>
      </c>
      <c r="B104" t="inlineStr">
        <is>
          <t>Guitar</t>
        </is>
      </c>
      <c r="C104" t="inlineStr">
        <is>
          <t>odds_and_ends</t>
        </is>
      </c>
      <c r="D104" t="n">
        <v>3</v>
      </c>
      <c r="E104" t="n">
        <v>0</v>
      </c>
      <c r="F104" t="n">
        <v>0</v>
      </c>
      <c r="G104">
        <f>E104*F104/24</f>
        <v/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Odds &amp; ends: personal item, no systems.</t>
        </is>
      </c>
    </row>
    <row r="105">
      <c r="A105" s="8" t="inlineStr">
        <is>
          <t>work_desk_blank</t>
        </is>
      </c>
      <c r="B105" t="inlineStr">
        <is>
          <t>Work Desk (clear)</t>
        </is>
      </c>
      <c r="C105" t="inlineStr">
        <is>
          <t>general</t>
        </is>
      </c>
      <c r="D105" t="n">
        <v>30</v>
      </c>
      <c r="E105" t="n">
        <v>0</v>
      </c>
      <c r="F105" t="n">
        <v>0</v>
      </c>
      <c r="G105">
        <f>E105*F105/24</f>
        <v/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Clear desk for the crew's own laptop, lamp and odds and ends. Placeholder numbers (22 Oct).</t>
        </is>
      </c>
    </row>
    <row r="106">
      <c r="A106" s="8" t="inlineStr">
        <is>
          <t>galley_kitchenette</t>
        </is>
      </c>
      <c r="B106" t="inlineStr">
        <is>
          <t>Galley Kitchenette</t>
        </is>
      </c>
      <c r="C106" t="inlineStr">
        <is>
          <t>galley</t>
        </is>
      </c>
      <c r="D106" t="n">
        <v>200</v>
      </c>
      <c r="E106" t="n">
        <v>2</v>
      </c>
      <c r="F106" t="n">
        <v>3</v>
      </c>
      <c r="G106">
        <f>E106*F106/24</f>
        <v/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Fridge, sink, hob, oven and rehydration tap in one run; replaces counter, oven and rehydration station. Placeholder numbers (22 Oct).</t>
        </is>
      </c>
    </row>
    <row r="107">
      <c r="A107" s="8" t="inlineStr">
        <is>
          <t>galley_bench_unit</t>
        </is>
      </c>
      <c r="B107" t="inlineStr">
        <is>
          <t>Galley Bench Unit</t>
        </is>
      </c>
      <c r="C107" t="inlineStr">
        <is>
          <t>galley</t>
        </is>
      </c>
      <c r="D107" t="n">
        <v>40</v>
      </c>
      <c r="E107" t="n">
        <v>0</v>
      </c>
      <c r="F107" t="n">
        <v>0</v>
      </c>
      <c r="G107">
        <f>E107*F107/24</f>
        <v/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Matching base cupboards with a clear worktop. Placeholder numbers (22 Oct).</t>
        </is>
      </c>
    </row>
    <row r="108">
      <c r="A108" s="8" t="inlineStr">
        <is>
          <t>wall_screen</t>
        </is>
      </c>
      <c r="B108" t="inlineStr">
        <is>
          <t>Wall Screen</t>
        </is>
      </c>
      <c r="C108" t="inlineStr">
        <is>
          <t>general</t>
        </is>
      </c>
      <c r="D108" t="n">
        <v>8</v>
      </c>
      <c r="E108" t="n">
        <v>0.08</v>
      </c>
      <c r="F108" t="n">
        <v>12</v>
      </c>
      <c r="G108">
        <f>E108*F108/24</f>
        <v/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Shows habitat status or a view of Mars or Earth. Placeholder numbers (22 Oct).</t>
        </is>
      </c>
    </row>
    <row r="109">
      <c r="A109" s="8" t="inlineStr">
        <is>
          <t>mini_gar_y</t>
        </is>
      </c>
      <c r="B109" t="inlineStr">
        <is>
          <t>Mini GAR-Y</t>
        </is>
      </c>
      <c r="C109" t="inlineStr">
        <is>
          <t>odds_and_ends</t>
        </is>
      </c>
      <c r="D109" t="n">
        <v>1</v>
      </c>
      <c r="E109" t="n">
        <v>0</v>
      </c>
      <c r="F109" t="n">
        <v>0</v>
      </c>
      <c r="G109">
        <f>E109*F109/24</f>
        <v/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>
        <is>
          <t>Odds &amp; ends: personal item, no systems.</t>
        </is>
      </c>
    </row>
    <row r="110">
      <c r="A110" s="8" t="inlineStr">
        <is>
          <t>camera_mast</t>
        </is>
      </c>
      <c r="B110" t="inlineStr">
        <is>
          <t>Camera Mast</t>
        </is>
      </c>
      <c r="C110" t="inlineStr">
        <is>
          <t>exterior</t>
        </is>
      </c>
      <c r="D110" t="n">
        <v>60</v>
      </c>
      <c r="E110" t="n">
        <v>0.05</v>
      </c>
      <c r="F110" t="n">
        <v>24</v>
      </c>
      <c r="G110">
        <f>E110*F110/24</f>
        <v/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Pan-tilt camera on a 6 m pole. Placeholder numbers (23 Oct).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>
      <c r="A1" s="7" t="inlineStr">
        <is>
          <t>Setting</t>
        </is>
      </c>
      <c r="B1" s="7" t="inlineStr">
        <is>
          <t>Open Plains</t>
        </is>
      </c>
      <c r="C1" s="7" t="inlineStr">
        <is>
          <t>Canyon Ridge</t>
        </is>
      </c>
      <c r="D1" s="7" t="inlineStr">
        <is>
          <t>Crater Basin</t>
        </is>
      </c>
      <c r="E1" s="7" t="inlineStr">
        <is>
          <t>Ice Fields</t>
        </is>
      </c>
      <c r="F1" s="7" t="inlineStr">
        <is>
          <t>Notes</t>
        </is>
      </c>
    </row>
    <row r="2">
      <c r="A2" s="8" t="inlineStr">
        <is>
          <t>Game id</t>
        </is>
      </c>
      <c r="B2" s="8" t="inlineStr">
        <is>
          <t>plains</t>
        </is>
      </c>
      <c r="C2" s="8" t="inlineStr">
        <is>
          <t>ridge</t>
        </is>
      </c>
      <c r="D2" s="8" t="inlineStr">
        <is>
          <t>crater</t>
        </is>
      </c>
      <c r="E2" s="8" t="inlineStr">
        <is>
          <t>ice</t>
        </is>
      </c>
      <c r="F2" s="8" t="inlineStr"/>
    </row>
    <row r="3">
      <c r="A3" s="8" t="inlineStr">
        <is>
          <t>Based on</t>
        </is>
      </c>
      <c r="B3" s="8" t="inlineStr">
        <is>
          <t>Elysium Planitia</t>
        </is>
      </c>
      <c r="C3" s="8" t="inlineStr">
        <is>
          <t>Valles Marineris floor</t>
        </is>
      </c>
      <c r="D3" s="8" t="inlineStr">
        <is>
          <t>Gale Crater lowlands</t>
        </is>
      </c>
      <c r="E3" s="8" t="inlineStr">
        <is>
          <t>Utopia Basin South</t>
        </is>
      </c>
      <c r="F3" s="8" t="inlineStr"/>
    </row>
    <row r="4">
      <c r="A4" s="8" t="inlineStr">
        <is>
          <t>Daytime temperature (C)</t>
        </is>
      </c>
      <c r="B4" s="22" t="n">
        <v>-25</v>
      </c>
      <c r="C4" s="22" t="n">
        <v>-22</v>
      </c>
      <c r="D4" s="22" t="n">
        <v>-10</v>
      </c>
      <c r="E4" s="22" t="n">
        <v>-45</v>
      </c>
      <c r="F4" s="8" t="inlineStr">
        <is>
          <t>Warmest part of the sol.</t>
        </is>
      </c>
    </row>
    <row r="5">
      <c r="A5" s="8" t="inlineStr">
        <is>
          <t>Night temperature (C)</t>
        </is>
      </c>
      <c r="B5" s="22" t="n">
        <v>-68</v>
      </c>
      <c r="C5" s="22" t="n">
        <v>-62</v>
      </c>
      <c r="D5" s="22" t="n">
        <v>-55</v>
      </c>
      <c r="E5" s="22" t="n">
        <v>-82</v>
      </c>
      <c r="F5" s="8" t="inlineStr">
        <is>
          <t>Coldest, just before dawn.</t>
        </is>
      </c>
    </row>
    <row r="6">
      <c r="A6" s="8" t="inlineStr">
        <is>
          <t>Average temperature (C)</t>
        </is>
      </c>
      <c r="B6" s="23">
        <f>(B4+B5)/2</f>
        <v/>
      </c>
      <c r="C6" s="23">
        <f>(C4+C5)/2</f>
        <v/>
      </c>
      <c r="D6" s="23">
        <f>(D4+D5)/2</f>
        <v/>
      </c>
      <c r="E6" s="23">
        <f>(E4+E5)/2</f>
        <v/>
      </c>
      <c r="F6" s="8" t="inlineStr">
        <is>
          <t>Worked out from the two above.</t>
        </is>
      </c>
    </row>
    <row r="7">
      <c r="A7" s="8" t="inlineStr">
        <is>
          <t>Daylight hours</t>
        </is>
      </c>
      <c r="B7" s="24" t="n">
        <v>14</v>
      </c>
      <c r="C7" s="24" t="n">
        <v>13</v>
      </c>
      <c r="D7" s="24" t="n">
        <v>14.5</v>
      </c>
      <c r="E7" s="24" t="n">
        <v>12</v>
      </c>
      <c r="F7" s="8" t="inlineStr">
        <is>
          <t>Sunrise to sunset.</t>
        </is>
      </c>
    </row>
    <row r="8">
      <c r="A8" s="8" t="inlineStr">
        <is>
          <t>Solar energy per array (kWh/sol)</t>
        </is>
      </c>
      <c r="B8" s="23">
        <f>8.575*Settings!$B$20</f>
        <v/>
      </c>
      <c r="C8" s="23">
        <f>6.402*Settings!$B$20</f>
        <v/>
      </c>
      <c r="D8" s="23">
        <f>7.89*Settings!$B$20</f>
        <v/>
      </c>
      <c r="E8" s="23">
        <f>4.437*Settings!$B$20</f>
        <v/>
      </c>
      <c r="F8" s="8" t="inlineStr">
        <is>
          <t>From the game's sun curve (height of the sun, cliffs and crater rims hiding it) for a south-facing array, times its peak output.</t>
        </is>
      </c>
    </row>
    <row r="9">
      <c r="A9" s="8" t="inlineStr">
        <is>
          <t>Best ice richness (0-1)</t>
        </is>
      </c>
      <c r="B9" s="14" t="n">
        <v>0.32</v>
      </c>
      <c r="C9" s="14" t="n">
        <v>0.82</v>
      </c>
      <c r="D9" s="14" t="n">
        <v>0.5</v>
      </c>
      <c r="E9" s="14" t="n">
        <v>0.92</v>
      </c>
      <c r="F9" s="8" t="inlineStr">
        <is>
          <t>From the site map. Drill output = drill L/sol x richness.</t>
        </is>
      </c>
    </row>
    <row r="10">
      <c r="A10" s="8" t="inlineStr">
        <is>
          <t>Dust storms per 100 sols</t>
        </is>
      </c>
      <c r="B10" s="25" t="n">
        <v>6</v>
      </c>
      <c r="C10" s="25" t="n">
        <v>8</v>
      </c>
      <c r="D10" s="25" t="n">
        <v>4</v>
      </c>
      <c r="E10" s="25" t="n">
        <v>5</v>
      </c>
      <c r="F10" s="8" t="inlineStr">
        <is>
          <t>How often a storm hits in Survival and Freedom (each comes with a forecast warning). Raised on 22 Oct so storms happen in a normal session. Tests can force one.</t>
        </is>
      </c>
    </row>
    <row r="11">
      <c r="A11" s="8" t="inlineStr">
        <is>
          <t>Storm cuts solar by</t>
        </is>
      </c>
      <c r="B11" s="26" t="n">
        <v>0.7</v>
      </c>
      <c r="C11" s="26" t="n">
        <v>0.6</v>
      </c>
      <c r="D11" s="26" t="n">
        <v>0.5</v>
      </c>
      <c r="E11" s="26" t="n">
        <v>0.6</v>
      </c>
      <c r="F11" s="8" t="inlineStr">
        <is>
          <t>Share of solar output lost during a storm.</t>
        </is>
      </c>
    </row>
    <row r="12">
      <c r="A12" s="8" t="inlineStr">
        <is>
          <t>Storm length (sols)</t>
        </is>
      </c>
      <c r="B12" s="22" t="n">
        <v>2</v>
      </c>
      <c r="C12" s="22" t="n">
        <v>1.5</v>
      </c>
      <c r="D12" s="22" t="n">
        <v>1.5</v>
      </c>
      <c r="E12" s="22" t="n">
        <v>2.5</v>
      </c>
      <c r="F12" s="8" t="inlineStr">
        <is>
          <t>Shortened on 22 Oct (a sol is about 20 minutes of play). Mission storms set their own length.</t>
        </is>
      </c>
    </row>
    <row r="13">
      <c r="A13" s="8" t="inlineStr">
        <is>
          <t>Landing cargo bonus</t>
        </is>
      </c>
      <c r="B13" s="26" t="n">
        <v>0</v>
      </c>
      <c r="C13" s="26" t="n">
        <v>0.08</v>
      </c>
      <c r="D13" s="26" t="n">
        <v>0</v>
      </c>
      <c r="E13" s="26" t="n">
        <v>0.08</v>
      </c>
      <c r="F13" s="8" t="inlineStr">
        <is>
          <t>Low sites (deep canyon, Utopia basin) have thicker air for parachutes, so landers carry more.</t>
        </is>
      </c>
    </row>
    <row r="14">
      <c r="A14" s="8" t="inlineStr">
        <is>
          <t>Build area limit (m)</t>
        </is>
      </c>
      <c r="B14" s="22" t="n">
        <v>90</v>
      </c>
      <c r="C14" s="22" t="n">
        <v>60</v>
      </c>
      <c r="D14" s="22" t="n">
        <v>48</v>
      </c>
      <c r="E14" s="22" t="n">
        <v>72</v>
      </c>
      <c r="F14" s="8" t="inlineStr">
        <is>
          <t>From the site map.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>
      <c r="A1" s="27" t="inlineStr">
        <is>
          <t>Reference 6-crew habitat on each site</t>
        </is>
      </c>
    </row>
    <row r="2">
      <c r="A2" s="8" t="inlineStr">
        <is>
          <t>Blue rows are the design choices for each site. Everything else is worked out. 'SHORT' means the design does not work there.</t>
        </is>
      </c>
    </row>
    <row r="4">
      <c r="A4" s="17" t="inlineStr">
        <is>
          <t>Site</t>
        </is>
      </c>
      <c r="B4" s="28">
        <f>Sites!B2</f>
        <v/>
      </c>
      <c r="C4" s="28">
        <f>Sites!C2</f>
        <v/>
      </c>
      <c r="D4" s="28">
        <f>Sites!D2</f>
        <v/>
      </c>
      <c r="E4" s="28">
        <f>Sites!E2</f>
        <v/>
      </c>
    </row>
    <row r="5">
      <c r="A5" s="27" t="inlineStr">
        <is>
          <t>Design choices (per site)</t>
        </is>
      </c>
    </row>
    <row r="6">
      <c r="A6" s="8" t="inlineStr">
        <is>
          <t>Solar arrays</t>
        </is>
      </c>
      <c r="B6" s="29" t="n">
        <v>6</v>
      </c>
      <c r="C6" s="29" t="n">
        <v>8</v>
      </c>
      <c r="D6" s="29" t="n">
        <v>6</v>
      </c>
      <c r="E6" s="29" t="n">
        <v>1</v>
      </c>
    </row>
    <row r="7">
      <c r="A7" s="8" t="inlineStr">
        <is>
          <t>Reactors</t>
        </is>
      </c>
      <c r="B7" s="29" t="n">
        <v>0</v>
      </c>
      <c r="C7" s="29" t="n">
        <v>0</v>
      </c>
      <c r="D7" s="29" t="n">
        <v>0</v>
      </c>
      <c r="E7" s="29" t="n">
        <v>2</v>
      </c>
    </row>
    <row r="8">
      <c r="A8" s="8" t="inlineStr">
        <is>
          <t>Battery banks</t>
        </is>
      </c>
      <c r="B8" s="29" t="n">
        <v>6</v>
      </c>
      <c r="C8" s="29" t="n">
        <v>7</v>
      </c>
      <c r="D8" s="29" t="n">
        <v>6</v>
      </c>
      <c r="E8" s="29" t="n">
        <v>2</v>
      </c>
    </row>
    <row r="9">
      <c r="A9" s="8" t="inlineStr">
        <is>
          <t>Ice drills</t>
        </is>
      </c>
      <c r="B9" s="29" t="n">
        <v>1</v>
      </c>
      <c r="C9" s="29" t="n">
        <v>1</v>
      </c>
      <c r="D9" s="29" t="n">
        <v>1</v>
      </c>
      <c r="E9" s="29" t="n">
        <v>1</v>
      </c>
    </row>
    <row r="10">
      <c r="A10" s="8" t="inlineStr">
        <is>
          <t>Water reclaimers</t>
        </is>
      </c>
      <c r="B10" s="29" t="n">
        <v>1</v>
      </c>
      <c r="C10" s="29" t="n">
        <v>0</v>
      </c>
      <c r="D10" s="29" t="n">
        <v>1</v>
      </c>
      <c r="E10" s="29" t="n">
        <v>0</v>
      </c>
    </row>
    <row r="11">
      <c r="A11" s="8" t="inlineStr">
        <is>
          <t>Thermal control units</t>
        </is>
      </c>
      <c r="B11" s="29" t="n">
        <v>2</v>
      </c>
      <c r="C11" s="29" t="n">
        <v>1</v>
      </c>
      <c r="D11" s="29" t="n">
        <v>1</v>
      </c>
      <c r="E11" s="29" t="n">
        <v>2</v>
      </c>
    </row>
    <row r="13">
      <c r="A13" s="27" t="inlineStr">
        <is>
          <t>Cargo</t>
        </is>
      </c>
    </row>
    <row r="14">
      <c r="A14" s="8" t="inlineStr">
        <is>
          <t>Room cells</t>
        </is>
      </c>
      <c r="B14" s="30">
        <f>Rooms!$G$16</f>
        <v/>
      </c>
      <c r="C14" s="30">
        <f>Rooms!$G$16</f>
        <v/>
      </c>
      <c r="D14" s="30">
        <f>Rooms!$G$16</f>
        <v/>
      </c>
      <c r="E14" s="30">
        <f>Rooms!$G$16</f>
        <v/>
      </c>
    </row>
    <row r="15">
      <c r="A15" s="8" t="inlineStr">
        <is>
          <t>Rooms</t>
        </is>
      </c>
      <c r="B15" s="20">
        <f>Rooms!$H$16</f>
        <v/>
      </c>
      <c r="C15" s="20">
        <f>Rooms!$H$16</f>
        <v/>
      </c>
      <c r="D15" s="20">
        <f>Rooms!$H$16</f>
        <v/>
      </c>
      <c r="E15" s="20">
        <f>Rooms!$H$16</f>
        <v/>
      </c>
    </row>
    <row r="16">
      <c r="A16" s="8" t="inlineStr">
        <is>
          <t>Equipment (reference qty)</t>
        </is>
      </c>
      <c r="B16" s="16">
        <f>SUMPRODUCT(Equipment!$T$2:$T$68,Equipment!$D$2:$D$68)</f>
        <v/>
      </c>
      <c r="C16" s="16">
        <f>SUMPRODUCT(Equipment!$T$2:$T$68,Equipment!$D$2:$D$68)</f>
        <v/>
      </c>
      <c r="D16" s="16">
        <f>SUMPRODUCT(Equipment!$T$2:$T$68,Equipment!$D$2:$D$68)</f>
        <v/>
      </c>
      <c r="E16" s="16">
        <f>SUMPRODUCT(Equipment!$T$2:$T$68,Equipment!$D$2:$D$68)</f>
        <v/>
      </c>
      <c r="F16" s="8" t="inlineStr">
        <is>
          <t>Everything on the Equipment sheet with a Reference qty.</t>
        </is>
      </c>
    </row>
    <row r="17">
      <c r="A17" s="8" t="inlineStr">
        <is>
          <t>Power, water and heating kit</t>
        </is>
      </c>
      <c r="B17" s="16">
        <f>B6*Equipment!$D$55+B7*Equipment!$D$56+B8*Equipment!$D$33+B9*Equipment!$D$57+B10*Equipment!$D$18+(B11-1)*Equipment!$D$20</f>
        <v/>
      </c>
      <c r="C17" s="16">
        <f>C6*Equipment!$D$55+C7*Equipment!$D$56+C8*Equipment!$D$33+C9*Equipment!$D$57+C10*Equipment!$D$18+(C11-1)*Equipment!$D$20</f>
        <v/>
      </c>
      <c r="D17" s="16">
        <f>D6*Equipment!$D$55+D7*Equipment!$D$56+D8*Equipment!$D$33+D9*Equipment!$D$57+D10*Equipment!$D$18+(D11-1)*Equipment!$D$20</f>
        <v/>
      </c>
      <c r="E17" s="16">
        <f>E6*Equipment!$D$55+E7*Equipment!$D$56+E8*Equipment!$D$33+E9*Equipment!$D$57+E10*Equipment!$D$18+(E11-1)*Equipment!$D$20</f>
        <v/>
      </c>
      <c r="F17" s="8" t="inlineStr">
        <is>
          <t>The chosen arrays, reactors, batteries, drills and reclaimers (one thermal unit is already in the reference qty).</t>
        </is>
      </c>
    </row>
    <row r="18">
      <c r="A18" s="8" t="inlineStr">
        <is>
          <t>Food eaten over the mission (kg)</t>
        </is>
      </c>
      <c r="B18" s="16">
        <f>Settings!$B$2*Settings!$B$9*Settings!$B$3</f>
        <v/>
      </c>
      <c r="C18" s="16">
        <f>Settings!$B$2*Settings!$B$9*Settings!$B$3</f>
        <v/>
      </c>
      <c r="D18" s="16">
        <f>Settings!$B$2*Settings!$B$9*Settings!$B$3</f>
        <v/>
      </c>
      <c r="E18" s="16">
        <f>Settings!$B$2*Settings!$B$9*Settings!$B$3</f>
        <v/>
      </c>
    </row>
    <row r="19">
      <c r="A19" s="8" t="inlineStr">
        <is>
          <t>Food grown over the mission (kg)</t>
        </is>
      </c>
      <c r="B19" s="16">
        <f>SUMPRODUCT(Equipment!$T$2:$T$68,Equipment!$L$2:$L$68)*Settings!$B$3</f>
        <v/>
      </c>
      <c r="C19" s="16">
        <f>SUMPRODUCT(Equipment!$T$2:$T$68,Equipment!$L$2:$L$68)*Settings!$B$3</f>
        <v/>
      </c>
      <c r="D19" s="16">
        <f>SUMPRODUCT(Equipment!$T$2:$T$68,Equipment!$L$2:$L$68)*Settings!$B$3</f>
        <v/>
      </c>
      <c r="E19" s="16">
        <f>SUMPRODUCT(Equipment!$T$2:$T$68,Equipment!$L$2:$L$68)*Settings!$B$3</f>
        <v/>
      </c>
    </row>
    <row r="20">
      <c r="A20" s="8" t="inlineStr">
        <is>
          <t>Food to bring from Earth</t>
        </is>
      </c>
      <c r="B20" s="16">
        <f>MAX(0,B18-B19)</f>
        <v/>
      </c>
      <c r="C20" s="16">
        <f>MAX(0,C18-C19)</f>
        <v/>
      </c>
      <c r="D20" s="16">
        <f>MAX(0,D18-D19)</f>
        <v/>
      </c>
      <c r="E20" s="16">
        <f>MAX(0,E18-E19)</f>
        <v/>
      </c>
    </row>
    <row r="21">
      <c r="A21" s="8" t="inlineStr">
        <is>
          <t>Oxygen in reserve tanks</t>
        </is>
      </c>
      <c r="B21" s="16">
        <f>SUMPRODUCT(Equipment!$T$2:$T$68,Equipment!$O$2:$O$68)</f>
        <v/>
      </c>
      <c r="C21" s="16">
        <f>SUMPRODUCT(Equipment!$T$2:$T$68,Equipment!$O$2:$O$68)</f>
        <v/>
      </c>
      <c r="D21" s="16">
        <f>SUMPRODUCT(Equipment!$T$2:$T$68,Equipment!$O$2:$O$68)</f>
        <v/>
      </c>
      <c r="E21" s="16">
        <f>SUMPRODUCT(Equipment!$T$2:$T$68,Equipment!$O$2:$O$68)</f>
        <v/>
      </c>
    </row>
    <row r="22">
      <c r="A22" s="8" t="inlineStr">
        <is>
          <t>Starting water</t>
        </is>
      </c>
      <c r="B22" s="16">
        <f>Equipment!$N$18*B10+100</f>
        <v/>
      </c>
      <c r="C22" s="16">
        <f>Equipment!$N$18*C10+100</f>
        <v/>
      </c>
      <c r="D22" s="16">
        <f>Equipment!$N$18*D10+100</f>
        <v/>
      </c>
      <c r="E22" s="16">
        <f>Equipment!$N$18*E10+100</f>
        <v/>
      </c>
      <c r="F22" s="8" t="inlineStr">
        <is>
          <t>Tanks filled on Earth (1 L = 1 kg) plus 100 L in pipes.</t>
        </is>
      </c>
    </row>
    <row r="23">
      <c r="A23" s="17" t="inlineStr">
        <is>
          <t>Total cargo</t>
        </is>
      </c>
      <c r="B23" s="18">
        <f>B15+B16+B17+B20+B21+B22</f>
        <v/>
      </c>
      <c r="C23" s="18">
        <f>C15+C16+C17+C20+C21+C22</f>
        <v/>
      </c>
      <c r="D23" s="18">
        <f>D15+D16+D17+D20+D21+D22</f>
        <v/>
      </c>
      <c r="E23" s="18">
        <f>E15+E16+E17+E20+E21+E22</f>
        <v/>
      </c>
    </row>
    <row r="24">
      <c r="A24" s="8" t="inlineStr">
        <is>
          <t>Cargo budget (with landing bonus)</t>
        </is>
      </c>
      <c r="B24" s="16">
        <f>Settings!$B$4*(1+Sites!B13)</f>
        <v/>
      </c>
      <c r="C24" s="16">
        <f>Settings!$B$4*(1+Sites!C13)</f>
        <v/>
      </c>
      <c r="D24" s="16">
        <f>Settings!$B$4*(1+Sites!D13)</f>
        <v/>
      </c>
      <c r="E24" s="16">
        <f>Settings!$B$4*(1+Sites!E13)</f>
        <v/>
      </c>
    </row>
    <row r="25">
      <c r="A25" s="17" t="inlineStr">
        <is>
          <t>Spare cargo</t>
        </is>
      </c>
      <c r="B25" s="31">
        <f>(B24-B23)/B24</f>
        <v/>
      </c>
      <c r="C25" s="31">
        <f>(C24-C23)/C24</f>
        <v/>
      </c>
      <c r="D25" s="31">
        <f>(D24-D23)/D24</f>
        <v/>
      </c>
      <c r="E25" s="31">
        <f>(E24-E23)/E24</f>
        <v/>
      </c>
      <c r="F25" s="8" t="inlineStr">
        <is>
          <t>Aim for roughly 5-20% so students have choices but must make trade-offs.</t>
        </is>
      </c>
    </row>
    <row r="26">
      <c r="A26" s="17" t="inlineStr">
        <is>
          <t>Cargo</t>
        </is>
      </c>
      <c r="B26" s="32">
        <f>IF(B23&lt;=B24,"OK","SHORT")</f>
        <v/>
      </c>
      <c r="C26" s="32">
        <f>IF(C23&lt;=C24,"OK","SHORT")</f>
        <v/>
      </c>
      <c r="D26" s="32">
        <f>IF(D23&lt;=D24,"OK","SHORT")</f>
        <v/>
      </c>
      <c r="E26" s="32">
        <f>IF(E23&lt;=E24,"OK","SHORT")</f>
        <v/>
      </c>
    </row>
    <row r="28">
      <c r="A28" s="27" t="inlineStr">
        <is>
          <t>Power (one sol)</t>
        </is>
      </c>
    </row>
    <row r="29">
      <c r="A29" s="8" t="inlineStr">
        <is>
          <t>Average indoor load (kW)</t>
        </is>
      </c>
      <c r="B29" s="23">
        <f>SUMPRODUCT(Equipment!$T$2:$T$68,Equipment!$G$2:$G$68)+SUMPRODUCT(Rooms!$D$2:$D$15,Rooms!$G$2:$G$15)+SUMPRODUCT(Rooms!$E$2:$E$15,Rooms!$G$2:$G$15)*Settings!$B$25/24+B10*Equipment!$G$18</f>
        <v/>
      </c>
      <c r="C29" s="23">
        <f>SUMPRODUCT(Equipment!$T$2:$T$68,Equipment!$G$2:$G$68)+SUMPRODUCT(Rooms!$D$2:$D$15,Rooms!$G$2:$G$15)+SUMPRODUCT(Rooms!$E$2:$E$15,Rooms!$G$2:$G$15)*Settings!$B$25/24+C10*Equipment!$G$18</f>
        <v/>
      </c>
      <c r="D29" s="23">
        <f>SUMPRODUCT(Equipment!$T$2:$T$68,Equipment!$G$2:$G$68)+SUMPRODUCT(Rooms!$D$2:$D$15,Rooms!$G$2:$G$15)+SUMPRODUCT(Rooms!$E$2:$E$15,Rooms!$G$2:$G$15)*Settings!$B$25/24+D10*Equipment!$G$18</f>
        <v/>
      </c>
      <c r="E29" s="23">
        <f>SUMPRODUCT(Equipment!$T$2:$T$68,Equipment!$G$2:$G$68)+SUMPRODUCT(Rooms!$D$2:$D$15,Rooms!$G$2:$G$15)+SUMPRODUCT(Rooms!$E$2:$E$15,Rooms!$G$2:$G$15)*Settings!$B$25/24+E10*Equipment!$G$18</f>
        <v/>
      </c>
      <c r="F29" s="8" t="inlineStr">
        <is>
          <t>Machines at their average, plus ventilation and lights in every cell.</t>
        </is>
      </c>
    </row>
    <row r="30">
      <c r="A30" s="8" t="inlineStr">
        <is>
          <t>Ice drills (kW)</t>
        </is>
      </c>
      <c r="B30" s="23">
        <f>B9*Equipment!$G$57</f>
        <v/>
      </c>
      <c r="C30" s="23">
        <f>C9*Equipment!$G$57</f>
        <v/>
      </c>
      <c r="D30" s="23">
        <f>D9*Equipment!$G$57</f>
        <v/>
      </c>
      <c r="E30" s="23">
        <f>E9*Equipment!$G$57</f>
        <v/>
      </c>
      <c r="F30" s="8" t="inlineStr">
        <is>
          <t>Their heat is lost outside.</t>
        </is>
      </c>
    </row>
    <row r="31">
      <c r="A31" s="8" t="inlineStr">
        <is>
          <t>Heat lost through the hull, average (kW)</t>
        </is>
      </c>
      <c r="B31" s="23">
        <f>B14*Settings!$B$12*Settings!$B$11*(Settings!$B$15-Sites!B6)/1000</f>
        <v/>
      </c>
      <c r="C31" s="23">
        <f>C14*Settings!$B$12*Settings!$B$11*(Settings!$B$15-Sites!C6)/1000</f>
        <v/>
      </c>
      <c r="D31" s="23">
        <f>D14*Settings!$B$12*Settings!$B$11*(Settings!$B$15-Sites!D6)/1000</f>
        <v/>
      </c>
      <c r="E31" s="23">
        <f>E14*Settings!$B$12*Settings!$B$11*(Settings!$B$15-Sites!E6)/1000</f>
        <v/>
      </c>
    </row>
    <row r="32">
      <c r="A32" s="8" t="inlineStr">
        <is>
          <t>Heat lost at night (kW)</t>
        </is>
      </c>
      <c r="B32" s="23">
        <f>B14*Settings!$B$12*Settings!$B$11*(Settings!$B$15-Sites!B5)/1000</f>
        <v/>
      </c>
      <c r="C32" s="23">
        <f>C14*Settings!$B$12*Settings!$B$11*(Settings!$B$15-Sites!C5)/1000</f>
        <v/>
      </c>
      <c r="D32" s="23">
        <f>D14*Settings!$B$12*Settings!$B$11*(Settings!$B$15-Sites!D5)/1000</f>
        <v/>
      </c>
      <c r="E32" s="23">
        <f>E14*Settings!$B$12*Settings!$B$11*(Settings!$B$15-Sites!E5)/1000</f>
        <v/>
      </c>
    </row>
    <row r="33">
      <c r="A33" s="8" t="inlineStr">
        <is>
          <t>Heat from people and machines (kW)</t>
        </is>
      </c>
      <c r="B33" s="23">
        <f>B29+Settings!$B$2*Settings!$B$10</f>
        <v/>
      </c>
      <c r="C33" s="23">
        <f>C29+Settings!$B$2*Settings!$B$10</f>
        <v/>
      </c>
      <c r="D33" s="23">
        <f>D29+Settings!$B$2*Settings!$B$10</f>
        <v/>
      </c>
      <c r="E33" s="23">
        <f>E29+Settings!$B$2*Settings!$B$10</f>
        <v/>
      </c>
      <c r="F33" s="8" t="inlineStr">
        <is>
          <t>Almost all electricity used indoors ends up as heat.</t>
        </is>
      </c>
    </row>
    <row r="34">
      <c r="A34" s="8" t="inlineStr">
        <is>
          <t>Heating power needed, average (kW)</t>
        </is>
      </c>
      <c r="B34" s="33">
        <f>MAX(0,B31-B33)/Settings!$B$16</f>
        <v/>
      </c>
      <c r="C34" s="33">
        <f>MAX(0,C31-C33)/Settings!$B$16</f>
        <v/>
      </c>
      <c r="D34" s="33">
        <f>MAX(0,D31-D33)/Settings!$B$16</f>
        <v/>
      </c>
      <c r="E34" s="33">
        <f>MAX(0,E31-E33)/Settings!$B$16</f>
        <v/>
      </c>
      <c r="F34" s="8" t="inlineStr">
        <is>
          <t>Electricity for the thermal control unit to make up the rest.</t>
        </is>
      </c>
    </row>
    <row r="35">
      <c r="A35" s="8" t="inlineStr">
        <is>
          <t>Heating power needed at night (kW)</t>
        </is>
      </c>
      <c r="B35" s="33">
        <f>MAX(0,B32-B33)/Settings!$B$16</f>
        <v/>
      </c>
      <c r="C35" s="33">
        <f>MAX(0,C32-C33)/Settings!$B$16</f>
        <v/>
      </c>
      <c r="D35" s="33">
        <f>MAX(0,D32-D33)/Settings!$B$16</f>
        <v/>
      </c>
      <c r="E35" s="33">
        <f>MAX(0,E32-E33)/Settings!$B$16</f>
        <v/>
      </c>
    </row>
    <row r="36">
      <c r="A36" s="8" t="inlineStr">
        <is>
          <t>Thermal units can move (kW of heat)</t>
        </is>
      </c>
      <c r="B36" s="23">
        <f>B11*Equipment!$Q$20</f>
        <v/>
      </c>
      <c r="C36" s="23">
        <f>C11*Equipment!$Q$20</f>
        <v/>
      </c>
      <c r="D36" s="23">
        <f>D11*Equipment!$Q$20</f>
        <v/>
      </c>
      <c r="E36" s="23">
        <f>E11*Equipment!$Q$20</f>
        <v/>
      </c>
    </row>
    <row r="37">
      <c r="A37" s="17" t="inlineStr">
        <is>
          <t>Heating capacity</t>
        </is>
      </c>
      <c r="B37" s="32">
        <f>IF(B36&gt;=MAX(0,B32-B33),"OK","SHORT")</f>
        <v/>
      </c>
      <c r="C37" s="32">
        <f>IF(C36&gt;=MAX(0,C32-C33),"OK","SHORT")</f>
        <v/>
      </c>
      <c r="D37" s="32">
        <f>IF(D36&gt;=MAX(0,D32-D33),"OK","SHORT")</f>
        <v/>
      </c>
      <c r="E37" s="32">
        <f>IF(E36&gt;=MAX(0,E32-E33),"OK","SHORT")</f>
        <v/>
      </c>
      <c r="F37" s="8" t="inlineStr">
        <is>
          <t>Enough thermal control units for the coldest night.</t>
        </is>
      </c>
    </row>
    <row r="38">
      <c r="A38" s="8" t="inlineStr">
        <is>
          <t>Energy used per sol (kWh)</t>
        </is>
      </c>
      <c r="B38" s="16">
        <f>(B29+B30+B34)*24</f>
        <v/>
      </c>
      <c r="C38" s="16">
        <f>(C29+C30+C34)*24</f>
        <v/>
      </c>
      <c r="D38" s="16">
        <f>(D29+D30+D34)*24</f>
        <v/>
      </c>
      <c r="E38" s="16">
        <f>(E29+E30+E34)*24</f>
        <v/>
      </c>
    </row>
    <row r="39">
      <c r="A39" s="8" t="inlineStr">
        <is>
          <t>Energy made per sol (kWh)</t>
        </is>
      </c>
      <c r="B39" s="16">
        <f>B6*Sites!B8+B7*Settings!$B$21*24</f>
        <v/>
      </c>
      <c r="C39" s="16">
        <f>C6*Sites!C8+C7*Settings!$B$21*24</f>
        <v/>
      </c>
      <c r="D39" s="16">
        <f>D6*Sites!D8+D7*Settings!$B$21*24</f>
        <v/>
      </c>
      <c r="E39" s="16">
        <f>E6*Sites!E8+E7*Settings!$B$21*24</f>
        <v/>
      </c>
    </row>
    <row r="40">
      <c r="A40" s="17" t="inlineStr">
        <is>
          <t>Daily energy</t>
        </is>
      </c>
      <c r="B40" s="32">
        <f>IF(B39&gt;=B38,"OK","SHORT")</f>
        <v/>
      </c>
      <c r="C40" s="32">
        <f>IF(C39&gt;=C38,"OK","SHORT")</f>
        <v/>
      </c>
      <c r="D40" s="32">
        <f>IF(D39&gt;=D38,"OK","SHORT")</f>
        <v/>
      </c>
      <c r="E40" s="32">
        <f>IF(E39&gt;=E38,"OK","SHORT")</f>
        <v/>
      </c>
    </row>
    <row r="41">
      <c r="A41" s="8" t="inlineStr">
        <is>
          <t>Night hours</t>
        </is>
      </c>
      <c r="B41" s="21">
        <f>24-Sites!B7</f>
        <v/>
      </c>
      <c r="C41" s="21">
        <f>24-Sites!C7</f>
        <v/>
      </c>
      <c r="D41" s="21">
        <f>24-Sites!D7</f>
        <v/>
      </c>
      <c r="E41" s="21">
        <f>24-Sites!E7</f>
        <v/>
      </c>
    </row>
    <row r="42">
      <c r="A42" s="8" t="inlineStr">
        <is>
          <t>Energy needed through the night (kWh)</t>
        </is>
      </c>
      <c r="B42" s="16">
        <f>(B29+B30+B35-B7*Settings!$B$21)*B41</f>
        <v/>
      </c>
      <c r="C42" s="16">
        <f>(C29+C30+C35-C7*Settings!$B$21)*C41</f>
        <v/>
      </c>
      <c r="D42" s="16">
        <f>(D29+D30+D35-D7*Settings!$B$21)*D41</f>
        <v/>
      </c>
      <c r="E42" s="16">
        <f>(E29+E30+E35-E7*Settings!$B$21)*E41</f>
        <v/>
      </c>
      <c r="F42" s="8" t="inlineStr">
        <is>
          <t>What the batteries must hold after the reactor's share.</t>
        </is>
      </c>
    </row>
    <row r="43">
      <c r="A43" s="8" t="inlineStr">
        <is>
          <t>Battery storage (kWh)</t>
        </is>
      </c>
      <c r="B43" s="16">
        <f>B8*Settings!$B$22</f>
        <v/>
      </c>
      <c r="C43" s="16">
        <f>C8*Settings!$B$22</f>
        <v/>
      </c>
      <c r="D43" s="16">
        <f>D8*Settings!$B$22</f>
        <v/>
      </c>
      <c r="E43" s="16">
        <f>E8*Settings!$B$22</f>
        <v/>
      </c>
    </row>
    <row r="44">
      <c r="A44" s="17" t="inlineStr">
        <is>
          <t>Through the night</t>
        </is>
      </c>
      <c r="B44" s="32">
        <f>IF(B43&gt;=B42,"OK","SHORT")</f>
        <v/>
      </c>
      <c r="C44" s="32">
        <f>IF(C43&gt;=C42,"OK","SHORT")</f>
        <v/>
      </c>
      <c r="D44" s="32">
        <f>IF(D43&gt;=D42,"OK","SHORT")</f>
        <v/>
      </c>
      <c r="E44" s="32">
        <f>IF(E43&gt;=E42,"OK","SHORT")</f>
        <v/>
      </c>
    </row>
    <row r="45">
      <c r="A45" s="8" t="inlineStr">
        <is>
          <t>Energy made in a dust storm (kWh/sol)</t>
        </is>
      </c>
      <c r="B45" s="16">
        <f>B6*Sites!B8*(1-Sites!B11)+B7*Settings!$B$21*24</f>
        <v/>
      </c>
      <c r="C45" s="16">
        <f>C6*Sites!C8*(1-Sites!C11)+C7*Settings!$B$21*24</f>
        <v/>
      </c>
      <c r="D45" s="16">
        <f>D6*Sites!D8*(1-Sites!D11)+D7*Settings!$B$21*24</f>
        <v/>
      </c>
      <c r="E45" s="16">
        <f>E6*Sites!E8*(1-Sites!E11)+E7*Settings!$B$21*24</f>
        <v/>
      </c>
    </row>
    <row r="46">
      <c r="A46" s="17" t="inlineStr">
        <is>
          <t>Dust storm</t>
        </is>
      </c>
      <c r="B46" s="32">
        <f>IF(B45&gt;=B38,"OK","SHORT: switch things off")</f>
        <v/>
      </c>
      <c r="C46" s="32">
        <f>IF(C45&gt;=C38,"OK","SHORT: switch things off")</f>
        <v/>
      </c>
      <c r="D46" s="32">
        <f>IF(D45&gt;=D38,"OK","SHORT: switch things off")</f>
        <v/>
      </c>
      <c r="E46" s="32">
        <f>IF(E45&gt;=E38,"OK","SHORT: switch things off")</f>
        <v/>
      </c>
      <c r="F46" s="8" t="inlineStr">
        <is>
          <t>Shortfalls in storms are expected on solar sites: students must plan which loads to cut.</t>
        </is>
      </c>
    </row>
    <row r="48">
      <c r="A48" s="27" t="inlineStr">
        <is>
          <t>Water (L per sol)</t>
        </is>
      </c>
    </row>
    <row r="49">
      <c r="A49" s="8" t="inlineStr">
        <is>
          <t>Used by crew</t>
        </is>
      </c>
      <c r="B49" s="23">
        <f>Settings!$B$2*Settings!$B$8</f>
        <v/>
      </c>
      <c r="C49" s="23">
        <f>Settings!$B$2*Settings!$B$8</f>
        <v/>
      </c>
      <c r="D49" s="23">
        <f>Settings!$B$2*Settings!$B$8</f>
        <v/>
      </c>
      <c r="E49" s="23">
        <f>Settings!$B$2*Settings!$B$8</f>
        <v/>
      </c>
    </row>
    <row r="50">
      <c r="A50" s="8" t="inlineStr">
        <is>
          <t>Used by plants and oxygen generator</t>
        </is>
      </c>
      <c r="B50" s="23">
        <f>-SUMPRODUCT(Equipment!$T$2:$T$68,Equipment!$K$2:$K$68)</f>
        <v/>
      </c>
      <c r="C50" s="23">
        <f>-SUMPRODUCT(Equipment!$T$2:$T$68,Equipment!$K$2:$K$68)</f>
        <v/>
      </c>
      <c r="D50" s="23">
        <f>-SUMPRODUCT(Equipment!$T$2:$T$68,Equipment!$K$2:$K$68)</f>
        <v/>
      </c>
      <c r="E50" s="23">
        <f>-SUMPRODUCT(Equipment!$T$2:$T$68,Equipment!$K$2:$K$68)</f>
        <v/>
      </c>
    </row>
    <row r="51">
      <c r="A51" s="8" t="inlineStr">
        <is>
          <t>Recovered by reclaimers</t>
        </is>
      </c>
      <c r="B51" s="23">
        <f>MIN(B10*70,B49)*Settings!$B$17</f>
        <v/>
      </c>
      <c r="C51" s="23">
        <f>MIN(C10*70,C49)*Settings!$B$17</f>
        <v/>
      </c>
      <c r="D51" s="23">
        <f>MIN(D10*70,D49)*Settings!$B$17</f>
        <v/>
      </c>
      <c r="E51" s="23">
        <f>MIN(E10*70,E49)*Settings!$B$17</f>
        <v/>
      </c>
    </row>
    <row r="52">
      <c r="A52" s="8" t="inlineStr">
        <is>
          <t>Made by ice drills</t>
        </is>
      </c>
      <c r="B52" s="23">
        <f>B9*Settings!$B$18*Sites!B9*Settings!$B$19</f>
        <v/>
      </c>
      <c r="C52" s="23">
        <f>C9*Settings!$B$18*Sites!C9*Settings!$B$19</f>
        <v/>
      </c>
      <c r="D52" s="23">
        <f>D9*Settings!$B$18*Sites!D9*Settings!$B$19</f>
        <v/>
      </c>
      <c r="E52" s="23">
        <f>E9*Settings!$B$18*Sites!E9*Settings!$B$19</f>
        <v/>
      </c>
    </row>
    <row r="53">
      <c r="A53" s="17" t="inlineStr">
        <is>
          <t>Water</t>
        </is>
      </c>
      <c r="B53" s="32">
        <f>IF(B52+B51&gt;=B49+B50,"OK","SHORT")</f>
        <v/>
      </c>
      <c r="C53" s="32">
        <f>IF(C52+C51&gt;=C49+C50,"OK","SHORT")</f>
        <v/>
      </c>
      <c r="D53" s="32">
        <f>IF(D52+D51&gt;=D49+D50,"OK","SHORT")</f>
        <v/>
      </c>
      <c r="E53" s="32">
        <f>IF(E52+E51&gt;=E49+E50,"OK","SHORT")</f>
        <v/>
      </c>
    </row>
    <row r="55">
      <c r="A55" s="27" t="inlineStr">
        <is>
          <t>Air (kg per sol)</t>
        </is>
      </c>
    </row>
    <row r="56">
      <c r="A56" s="8" t="inlineStr">
        <is>
          <t>Oxygen breathed</t>
        </is>
      </c>
      <c r="B56" s="33">
        <f>Settings!$B$2*Settings!$B$6</f>
        <v/>
      </c>
      <c r="C56" s="33">
        <f>Settings!$B$2*Settings!$B$6</f>
        <v/>
      </c>
      <c r="D56" s="33">
        <f>Settings!$B$2*Settings!$B$6</f>
        <v/>
      </c>
      <c r="E56" s="33">
        <f>Settings!$B$2*Settings!$B$6</f>
        <v/>
      </c>
    </row>
    <row r="57">
      <c r="A57" s="8" t="inlineStr">
        <is>
          <t>Oxygen made</t>
        </is>
      </c>
      <c r="B57" s="33">
        <f>SUMPRODUCT(Equipment!$T$2:$T$68,Equipment!$I$2:$I$68)</f>
        <v/>
      </c>
      <c r="C57" s="33">
        <f>SUMPRODUCT(Equipment!$T$2:$T$68,Equipment!$I$2:$I$68)</f>
        <v/>
      </c>
      <c r="D57" s="33">
        <f>SUMPRODUCT(Equipment!$T$2:$T$68,Equipment!$I$2:$I$68)</f>
        <v/>
      </c>
      <c r="E57" s="33">
        <f>SUMPRODUCT(Equipment!$T$2:$T$68,Equipment!$I$2:$I$68)</f>
        <v/>
      </c>
    </row>
    <row r="58">
      <c r="A58" s="17" t="inlineStr">
        <is>
          <t>Oxygen</t>
        </is>
      </c>
      <c r="B58" s="32">
        <f>IF(B57&gt;=B56,"OK","SHORT")</f>
        <v/>
      </c>
      <c r="C58" s="32">
        <f>IF(C57&gt;=C56,"OK","SHORT")</f>
        <v/>
      </c>
      <c r="D58" s="32">
        <f>IF(D57&gt;=D56,"OK","SHORT")</f>
        <v/>
      </c>
      <c r="E58" s="32">
        <f>IF(E57&gt;=E56,"OK","SHORT")</f>
        <v/>
      </c>
    </row>
    <row r="59">
      <c r="A59" s="8" t="inlineStr">
        <is>
          <t>CO2 breathed out</t>
        </is>
      </c>
      <c r="B59" s="33">
        <f>Settings!$B$2*Settings!$B$7</f>
        <v/>
      </c>
      <c r="C59" s="33">
        <f>Settings!$B$2*Settings!$B$7</f>
        <v/>
      </c>
      <c r="D59" s="33">
        <f>Settings!$B$2*Settings!$B$7</f>
        <v/>
      </c>
      <c r="E59" s="33">
        <f>Settings!$B$2*Settings!$B$7</f>
        <v/>
      </c>
    </row>
    <row r="60">
      <c r="A60" s="8" t="inlineStr">
        <is>
          <t>CO2 removed</t>
        </is>
      </c>
      <c r="B60" s="33">
        <f>-SUMPRODUCT(Equipment!$T$2:$T$68,Equipment!$J$2:$J$68)</f>
        <v/>
      </c>
      <c r="C60" s="33">
        <f>-SUMPRODUCT(Equipment!$T$2:$T$68,Equipment!$J$2:$J$68)</f>
        <v/>
      </c>
      <c r="D60" s="33">
        <f>-SUMPRODUCT(Equipment!$T$2:$T$68,Equipment!$J$2:$J$68)</f>
        <v/>
      </c>
      <c r="E60" s="33">
        <f>-SUMPRODUCT(Equipment!$T$2:$T$68,Equipment!$J$2:$J$68)</f>
        <v/>
      </c>
    </row>
    <row r="61">
      <c r="A61" s="17" t="inlineStr">
        <is>
          <t>CO2</t>
        </is>
      </c>
      <c r="B61" s="32">
        <f>IF(B60&gt;=B59,"OK","SHORT")</f>
        <v/>
      </c>
      <c r="C61" s="32">
        <f>IF(C60&gt;=C59,"OK","SHORT")</f>
        <v/>
      </c>
      <c r="D61" s="32">
        <f>IF(D60&gt;=D59,"OK","SHORT")</f>
        <v/>
      </c>
      <c r="E61" s="32">
        <f>IF(E60&gt;=E59,"OK","SHORT")</f>
        <v/>
      </c>
    </row>
    <row r="63">
      <c r="A63" s="27" t="inlineStr">
        <is>
          <t>Food</t>
        </is>
      </c>
    </row>
    <row r="64">
      <c r="A64" s="8" t="inlineStr">
        <is>
          <t>Share of food grown</t>
        </is>
      </c>
      <c r="B64" s="34">
        <f>B19/B18</f>
        <v/>
      </c>
      <c r="C64" s="34">
        <f>C19/C18</f>
        <v/>
      </c>
      <c r="D64" s="34">
        <f>D19/D18</f>
        <v/>
      </c>
      <c r="E64" s="34">
        <f>E19/E18</f>
        <v/>
      </c>
    </row>
    <row r="65">
      <c r="A65" s="8" t="inlineStr">
        <is>
          <t>Food storage (kg)</t>
        </is>
      </c>
      <c r="B65" s="16">
        <f>SUMPRODUCT(Equipment!$T$2:$T$68,Equipment!$M$2:$M$68)</f>
        <v/>
      </c>
      <c r="C65" s="16">
        <f>SUMPRODUCT(Equipment!$T$2:$T$68,Equipment!$M$2:$M$68)</f>
        <v/>
      </c>
      <c r="D65" s="16">
        <f>SUMPRODUCT(Equipment!$T$2:$T$68,Equipment!$M$2:$M$68)</f>
        <v/>
      </c>
      <c r="E65" s="16">
        <f>SUMPRODUCT(Equipment!$T$2:$T$68,Equipment!$M$2:$M$68)</f>
        <v/>
      </c>
    </row>
    <row r="66">
      <c r="A66" s="17" t="inlineStr">
        <is>
          <t>Room to store the food brought</t>
        </is>
      </c>
      <c r="B66" s="32">
        <f>IF(B65&gt;=B20*0.5,"OK","SHORT")</f>
        <v/>
      </c>
      <c r="C66" s="32">
        <f>IF(C65&gt;=C20*0.5,"OK","SHORT")</f>
        <v/>
      </c>
      <c r="D66" s="32">
        <f>IF(D65&gt;=D20*0.5,"OK","SHORT")</f>
        <v/>
      </c>
      <c r="E66" s="32">
        <f>IF(E65&gt;=E20*0.5,"OK","SHORT")</f>
        <v/>
      </c>
      <c r="F66" s="8" t="inlineStr">
        <is>
          <t>Half the mission's food on hand at once; the rest arrives on later cargo or is kept outside.</t>
        </is>
      </c>
    </row>
    <row r="68">
      <c r="A68" s="27" t="inlineStr">
        <is>
          <t>Crew space</t>
        </is>
      </c>
    </row>
    <row r="69">
      <c r="A69" s="8" t="inlineStr">
        <is>
          <t>Berths (bunks)</t>
        </is>
      </c>
      <c r="B69" s="35">
        <f>SUMPRODUCT(Equipment!$T$2:$T$68,Equipment!$R$2:$R$68)</f>
        <v/>
      </c>
      <c r="C69" s="35">
        <f>SUMPRODUCT(Equipment!$T$2:$T$68,Equipment!$R$2:$R$68)</f>
        <v/>
      </c>
      <c r="D69" s="35">
        <f>SUMPRODUCT(Equipment!$T$2:$T$68,Equipment!$R$2:$R$68)</f>
        <v/>
      </c>
      <c r="E69" s="35">
        <f>SUMPRODUCT(Equipment!$T$2:$T$68,Equipment!$R$2:$R$68)</f>
        <v/>
      </c>
    </row>
    <row r="70">
      <c r="A70" s="8" t="inlineStr">
        <is>
          <t>Room for crew (living cells x 2/3)</t>
        </is>
      </c>
      <c r="B70" s="35">
        <f>INT(Rooms!$G$2*2/3)</f>
        <v/>
      </c>
      <c r="C70" s="35">
        <f>INT(Rooms!$G$2*2/3)</f>
        <v/>
      </c>
      <c r="D70" s="35">
        <f>INT(Rooms!$G$2*2/3)</f>
        <v/>
      </c>
      <c r="E70" s="35">
        <f>INT(Rooms!$G$2*2/3)</f>
        <v/>
      </c>
    </row>
    <row r="71">
      <c r="A71" s="17" t="inlineStr">
        <is>
          <t>Crew housed</t>
        </is>
      </c>
      <c r="B71" s="32">
        <f>IF(MIN(B69,B70)&gt;=Settings!$B$2,"OK","SHORT")</f>
        <v/>
      </c>
      <c r="C71" s="32">
        <f>IF(MIN(C69,C70)&gt;=Settings!$B$2,"OK","SHORT")</f>
        <v/>
      </c>
      <c r="D71" s="32">
        <f>IF(MIN(D69,D70)&gt;=Settings!$B$2,"OK","SHORT")</f>
        <v/>
      </c>
      <c r="E71" s="32">
        <f>IF(MIN(E69,E70)&gt;=Settings!$B$2,"OK","SHORT")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2026-10-21T08:15:03Z</dcterms:created>
  <dcterms:modified xsi:type="dcterms:W3CDTF">2026-10-22T22:24:43Z</dcterms:modified>
</cp:coreProperties>
</file>